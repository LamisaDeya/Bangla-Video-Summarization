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-2\Lab\Thesis\DEFENSE\dataset\"/>
    </mc:Choice>
  </mc:AlternateContent>
  <xr:revisionPtr revIDLastSave="0" documentId="13_ncr:1_{CEA2D0F5-7C82-42C3-B141-CBB8E569B94E}" xr6:coauthVersionLast="47" xr6:coauthVersionMax="47" xr10:uidLastSave="{00000000-0000-0000-0000-000000000000}"/>
  <bookViews>
    <workbookView xWindow="0" yWindow="360" windowWidth="23256" windowHeight="12456" xr2:uid="{7262C599-2C3B-4CAC-99AE-36E66E335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" l="1" a="1"/>
  <c r="R1" i="1" s="1"/>
  <c r="Q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" i="1"/>
  <c r="M2" i="1" s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<sst xmlns="http://schemas.openxmlformats.org/spreadsheetml/2006/main" count="1020" uniqueCount="443">
  <si>
    <t>Video_link</t>
  </si>
  <si>
    <t>Video_duration</t>
  </si>
  <si>
    <t>Num_of_words(text)</t>
  </si>
  <si>
    <t>Num_of_words(summary)</t>
  </si>
  <si>
    <t>Num_of_chunks</t>
  </si>
  <si>
    <t>Compression_ratio</t>
  </si>
  <si>
    <t>Subject</t>
  </si>
  <si>
    <t>Playlist</t>
  </si>
  <si>
    <t>Num_of_sentences(summary)</t>
  </si>
  <si>
    <t>Num_of_sentences(text)</t>
  </si>
  <si>
    <t>https://youtu.be/viJoYmUCRwM?si=TkN3OcOx5G-INV2P</t>
  </si>
  <si>
    <t>PHYSICS</t>
  </si>
  <si>
    <t>Video_minutes</t>
  </si>
  <si>
    <t>[0]:34:14</t>
  </si>
  <si>
    <t>https://youtu.be/N_7nZl9pA4Q?si=BsIinYu3aU0XFnH1</t>
  </si>
  <si>
    <t>MATH</t>
  </si>
  <si>
    <t>udvash-unmesh shikkha poribar</t>
  </si>
  <si>
    <t>https://youtu.be/8u3ZZZsohvA?si=fCnU93IN0EXNgfd-</t>
  </si>
  <si>
    <t>https://youtu.be/KRl_41EAJTA?si=QBadXMAhbMHwm-Ms</t>
  </si>
  <si>
    <t>https://youtu.be/M40KrcH3Pog?si=evthU--XKh4DZZGT</t>
  </si>
  <si>
    <t>https://youtu.be/Lf7L_EcxLWk?si=LL_RQ4egxXhCvatN</t>
  </si>
  <si>
    <t>https://youtu.be/kkrfB_JfOqU?si=bQ6WVhZFDG8mk95C</t>
  </si>
  <si>
    <t>https://youtu.be/IsppOOYxSTE?si=QMNrmQEQkJmtGLQR</t>
  </si>
  <si>
    <t>CHEMISTRY</t>
  </si>
  <si>
    <t>https://youtu.be/Y0vQO_lIfss?si=SwaUkE39jwMKOEkM</t>
  </si>
  <si>
    <t>https://youtu.be/UGgzCub1wA8?si=k8dXAegYqxZPVUII</t>
  </si>
  <si>
    <t>https://youtu.be/fsmMRQQfZvw?si=9niyIWRmrCxEkPtM</t>
  </si>
  <si>
    <t>https://youtu.be/HEsUTqrwPhY?si=FKDnSCAAyiLE4Si6</t>
  </si>
  <si>
    <t>https://youtu.be/rjoOajoAWWI?si=aQLSCwIwJA4pizaU</t>
  </si>
  <si>
    <t>https://youtu.be/ZvFeC0lp3Ig?si=DYzLmnvGuHlfByWZ</t>
  </si>
  <si>
    <t>https://youtu.be/K9gQssMA3yU?si=3zPUbZxM0UQ_V6Nt</t>
  </si>
  <si>
    <t>https://youtu.be/p_tK1eBVccc?si=ZoL5hQHzfcaCwtdB</t>
  </si>
  <si>
    <t>https://youtu.be/UhNEtF3A-_E?si=UOf1Cyde9WtWEkIe</t>
  </si>
  <si>
    <t>https://youtu.be/NZ7R5vnX1Tg?si=B6WOoEdW4-tLQIFI</t>
  </si>
  <si>
    <t>ICT</t>
  </si>
  <si>
    <t>https://youtu.be/NTh_4bwyrHA?si=JEVGut4L85nuZqVd</t>
  </si>
  <si>
    <t>https://youtu.be/y1K653FyH74?si=jetHFTvJME1XgL7-</t>
  </si>
  <si>
    <t>https://youtu.be/je6kgMouDAw?si=EPlc6jjaE1qKu8-x</t>
  </si>
  <si>
    <t>https://youtu.be/dUHWge9CIJ4?si=8PouCvN9nU95dija</t>
  </si>
  <si>
    <t>https://youtu.be/3s-am8Rs878?si=BwoxYDYBSvKJI7Gr</t>
  </si>
  <si>
    <t>https://youtu.be/I11mrqLCPXk?si=W4Dh-KJUm5rHiuKkhttps://youtu.be/I11mrqLCPXk?si=W4Dh-KJUm5rHiuKk</t>
  </si>
  <si>
    <t>https://youtu.be/vfkVGIv5TUM?si=YyrMK1O4YuPySEpX</t>
  </si>
  <si>
    <t>https://youtu.be/S_U7HBFDW0Y?si=leh4lqZARN32hGvx</t>
  </si>
  <si>
    <t>https://youtu.be/KmOzV0hHjuA?si=Ca0OHkiCGC70-R8y</t>
  </si>
  <si>
    <t>https://youtu.be/ne_p7RD_dAA?si=1hqntxR6I-BJSqTm</t>
  </si>
  <si>
    <t>https://youtu.be/TQzYJUSER2w?si=rPr-P9ODeI50EoTG</t>
  </si>
  <si>
    <t>https://youtu.be/tqfMTElGtps?si=mcj6ZPAoVp8Zpi9a</t>
  </si>
  <si>
    <t>https://youtu.be/TMu7DfLFzPo?si=VAuXRXvFShGZNV_V</t>
  </si>
  <si>
    <t>https://youtu.be/WnkxpguT-7s?si=yct5rUJGGgNtKaeM</t>
  </si>
  <si>
    <t>https://youtu.be/MpE7dWV_KDw?si=nfhvt8h8TZSu_g5D</t>
  </si>
  <si>
    <t>https://youtu.be/JRzTpFTkCjk?si=MRZSZd4_NjLxZr6A</t>
  </si>
  <si>
    <t>https://youtu.be/zZGUxwEbpL0?si=G8BhgTrL6JLt2NLm</t>
  </si>
  <si>
    <t>https://youtu.be/iOXlR0vJTt0?si=ZrVLi5P_ffW2dNAB</t>
  </si>
  <si>
    <t>https://youtu.be/7s_gNel8QpI?si=O5Qh1Ruz80X1yUXe</t>
  </si>
  <si>
    <t>https://youtu.be/9cgN_9Rl9AU?si=Gnk0SpXsu-wPEyn1</t>
  </si>
  <si>
    <t>https://youtu.be/aXGK0jmE59U?si=uoRR_xQb5BuhH7RP</t>
  </si>
  <si>
    <t>https://youtu.be/5Rf9CFnf6bQ?si=sJ-N27kKCK1gx0dH</t>
  </si>
  <si>
    <t>https://youtu.be/uvcnxSCOJjk?si=8wujYoDyiT6hJZiA</t>
  </si>
  <si>
    <t>https://youtu.be/Pmb5ady__cE?si=KfN3NJpJnVvXcghy</t>
  </si>
  <si>
    <t>CSE</t>
  </si>
  <si>
    <t>https://youtu.be/JfvGXKBWRpw?si=FgFKytrzA4uL1G_y</t>
  </si>
  <si>
    <t>Lecturelia</t>
  </si>
  <si>
    <t>https://youtu.be/dWeNXakFo5Y?si=IyFm4ZLInYNw9nde</t>
  </si>
  <si>
    <t>https://youtu.be/SLiXJNDibx0?si=q-RCbHkFz0kaurWb</t>
  </si>
  <si>
    <t>https://youtu.be/DojNEgrd-Hg?si=fOWq03qNTHnuiX3z</t>
  </si>
  <si>
    <t>https://youtu.be/9Zfsfn1uOdk?si=rAslvRqjxct7SnWo</t>
  </si>
  <si>
    <t>https://youtu.be/4gg1qa9tzfU?si=7zD3AoC7R9fVItdf</t>
  </si>
  <si>
    <t>https://youtu.be/2I9gd4-symA?si=c6RfFnQO4GFDoCCK</t>
  </si>
  <si>
    <t>https://youtu.be/UlV-mZaVcQk?si=5dEpaAlNy1u8qVO8</t>
  </si>
  <si>
    <t>https://youtu.be/9vfsreh_sZI?si=qnE0wmEWq8GKQ6zQ</t>
  </si>
  <si>
    <t>https://youtu.be/dcsA1v5ggEY?si=BzbFW0KZOspV6jgX</t>
  </si>
  <si>
    <t>https://youtu.be/JIycB7nEq10?si=vpX0MXwsRdrWSkN2</t>
  </si>
  <si>
    <t>https://youtu.be/V941RGViSw0?si=9zVAFt-L-YsScNfs</t>
  </si>
  <si>
    <t>https://youtu.be/KM4YXq-b4Ss?si=ReKQCSsY8Q2aMakN</t>
  </si>
  <si>
    <t>https://youtu.be/i2zQZnJ3KG4?si=0t4Uwd8ME3Sdh_C4</t>
  </si>
  <si>
    <t>https://youtu.be/qHbr4h0IbEs?si=DNhqgnDANWnlIQSF</t>
  </si>
  <si>
    <t>PHYSICS Vaiya</t>
  </si>
  <si>
    <t>https://youtu.be/2uf575wy2ko?si=Q8HbXQDNXv_UnGF0</t>
  </si>
  <si>
    <t>https://youtu.be/DJHqkjq_Ow8?si=n8UCfFhiz239-0Gw</t>
  </si>
  <si>
    <t>Udvash SSC 2025</t>
  </si>
  <si>
    <t>https://youtu.be/4h0RUnDPlu8?si=AK2RmbwIzprL1K9o</t>
  </si>
  <si>
    <t>[1]:50:22</t>
  </si>
  <si>
    <t>Udvash HSC 2026</t>
  </si>
  <si>
    <t>https://youtu.be/JlFn434W8sw?si=-xXHeT3RMCraiXOq</t>
  </si>
  <si>
    <t>[1]:02:29</t>
  </si>
  <si>
    <t>Nahid24</t>
  </si>
  <si>
    <t>https://youtu.be/YMZ5R_AFrN4?si=ckWq2Md2FSSRIlvR</t>
  </si>
  <si>
    <t>[0]:15:19</t>
  </si>
  <si>
    <t>https://youtu.be/DojNEgrd-Hg?si=SlFoQ9OOGlSJu21S</t>
  </si>
  <si>
    <t>[1]:05:01</t>
  </si>
  <si>
    <t>Udvash 1 shot MCQ</t>
  </si>
  <si>
    <t>https://youtu.be/Onk84i7FSBo?si=GL-84ynfVm8I0BEn</t>
  </si>
  <si>
    <t>[1]:56:23</t>
  </si>
  <si>
    <t>Nahid's ICT and Math Carnival</t>
  </si>
  <si>
    <t>https://youtu.be/HIjyqrjC9xA?si=9IkTd4eC3_ohezCr</t>
  </si>
  <si>
    <t>[1]:58:39</t>
  </si>
  <si>
    <t>Udvash class 10</t>
  </si>
  <si>
    <t>https://youtu.be/7Vg4JGVgFPA?si=MlKU8Kxi0r7K3xIe</t>
  </si>
  <si>
    <t>[0]:09:51</t>
  </si>
  <si>
    <t>Lecturelia greedy algo</t>
  </si>
  <si>
    <t>https://youtu.be/5yZdnvWnrJI?si=70NeIo_bv6zYtf-7</t>
  </si>
  <si>
    <t>[0]:05:51</t>
  </si>
  <si>
    <t>https://youtu.be/Igjv4Kj2_zo?si=EZSZ-W4oUbf6HyHC</t>
  </si>
  <si>
    <t>[0]:06:28</t>
  </si>
  <si>
    <t>https://www.youtube.com/watch?v=vMVQod5iEFg</t>
  </si>
  <si>
    <t>[0]:05:31</t>
  </si>
  <si>
    <t>https://www.youtube.com/watch?v=oa6bpZZg40U</t>
  </si>
  <si>
    <t>[0]:04:01</t>
  </si>
  <si>
    <t>https://www.youtube.com/watch?v=DqTUoUaopP8</t>
  </si>
  <si>
    <t>[0]:07:14</t>
  </si>
  <si>
    <t>https://www.youtube.com/watch?v=-6PjMKyOQJ8</t>
  </si>
  <si>
    <t>[0]:08:14</t>
  </si>
  <si>
    <t>https://www.youtube.com/watch?v=RFki_b7GN-4</t>
  </si>
  <si>
    <t>[0]:06:19</t>
  </si>
  <si>
    <t>https://www.youtube.com/watch?v=eFe8P3eBDOo</t>
  </si>
  <si>
    <t>[0]:12:46</t>
  </si>
  <si>
    <t>https://www.youtube.com/watch?v=DlfoDGCPSY8</t>
  </si>
  <si>
    <t>[0]:08:42</t>
  </si>
  <si>
    <t>https://www.youtube.com/watch?v=MmQbIBpAbvg</t>
  </si>
  <si>
    <t>[0]:08:25</t>
  </si>
  <si>
    <t>https://www.youtube.com/watch?v=MdOwbE8M5WQ</t>
  </si>
  <si>
    <t>[0]:13:01</t>
  </si>
  <si>
    <t>https://youtu.be/5HY0dGVepmA?si=cDkKxLCTiNbcfXuG</t>
  </si>
  <si>
    <t>[0]:07:03</t>
  </si>
  <si>
    <t>https://youtu.be/GPJqkGp1Xig?si=ljFpqpo-o3L79gtr</t>
  </si>
  <si>
    <t>[0]:07:39</t>
  </si>
  <si>
    <t>https://youtu.be/ayzMbM2c0yQ?si=lvIiKkM4z668G2rN</t>
  </si>
  <si>
    <t>[0]:06:52</t>
  </si>
  <si>
    <t>https://youtu.be/ppb2AucZNU8?si=ojncTOlYoMfToFDl</t>
  </si>
  <si>
    <t>[0]:08:26</t>
  </si>
  <si>
    <t>https://youtu.be/hYgkTeNsNmE?si=cr-RTVRr5_O5b44r</t>
  </si>
  <si>
    <t>[0]:09:45</t>
  </si>
  <si>
    <t>https://youtu.be/KRwKCkPa1e0?si=lNRBtMbzdyMoa4PI</t>
  </si>
  <si>
    <t>[0]:08:56</t>
  </si>
  <si>
    <t>https://youtu.be/etf0HL1R3W4?si=1Z3z7D4NBMAAQifm</t>
  </si>
  <si>
    <t>[0]:12:21</t>
  </si>
  <si>
    <t>https://youtu.be/JGxy-lCgWOU?si=gbVfvm3nGuf3w4QF</t>
  </si>
  <si>
    <t>[0]:10:24</t>
  </si>
  <si>
    <t>https://youtu.be/HuT-we8UH5Y?si=FLbjePK6q-v1T9Qp</t>
  </si>
  <si>
    <t>[0]:12:03</t>
  </si>
  <si>
    <t>https://youtu.be/vEgZSwW7Z84?si=ctEUifaXXcF63yWV</t>
  </si>
  <si>
    <t>[0]:06:22</t>
  </si>
  <si>
    <t>https://youtu.be/SLpdMSfGCwM?si=69uvKScR6Tf89mr9</t>
  </si>
  <si>
    <t>[0]:09:03</t>
  </si>
  <si>
    <t>https://youtu.be/LtLG5AccD5Y?si=o2A2xOBHXXrJzIJS</t>
  </si>
  <si>
    <t>https://youtu.be/vIxB4RwZMvk?si=KHGSrD54aCOoIDHQ</t>
  </si>
  <si>
    <t>[0]:08:44</t>
  </si>
  <si>
    <t>https://youtu.be/D6KObIYuens?si=x1Wa7QxodjG4CQP6</t>
  </si>
  <si>
    <t>[0]:08:51</t>
  </si>
  <si>
    <t>https://youtu.be/pRevfpiaag4?si=CKFYtCVSiKF_vHZI</t>
  </si>
  <si>
    <t>https://youtu.be/7mjNTs2ut7g?si=VOaFjQcr65hvr3EN</t>
  </si>
  <si>
    <t>[1]:59:03</t>
  </si>
  <si>
    <t>OnnoRokom Pathshala Gunogoto Roshayon</t>
  </si>
  <si>
    <t>https://youtu.be/FcDOiqHbGYA?si=YFpmTRUH2HhAX1F_</t>
  </si>
  <si>
    <t>[1]:15:35</t>
  </si>
  <si>
    <t>https://youtu.be/a6qsc_Ihfao?si=mff3yWT1rw9fmiWT</t>
  </si>
  <si>
    <t>[1]:10:13</t>
  </si>
  <si>
    <t>https://youtu.be/cHlN8eFVqKg?si=OogPybN_xJERr3NW</t>
  </si>
  <si>
    <t>[1]:13:08</t>
  </si>
  <si>
    <t>https://youtu.be/CZVnfQBh-o4?si=KSuORKF3FQVmSAKn</t>
  </si>
  <si>
    <t>[1]:08:28</t>
  </si>
  <si>
    <t>https://youtu.be/D0i1d3n3fak?si=CXxksl1bFkVqzp8W</t>
  </si>
  <si>
    <t>[1]:44:10</t>
  </si>
  <si>
    <t>https://youtu.be/Iv9OkQWnXKc?si=Kq3vn-uLb7GHsd4y</t>
  </si>
  <si>
    <t>[1]:00:22</t>
  </si>
  <si>
    <t>https://youtu.be/bpTrSsx3eos?si=AuDBYPe2l3daK_cR</t>
  </si>
  <si>
    <t>[1]:23:49</t>
  </si>
  <si>
    <t>https://youtu.be/H6h9LNbveEw?si=zK90Ab9m_qk1mzzT</t>
  </si>
  <si>
    <t>[1]:00:43</t>
  </si>
  <si>
    <t>https://youtu.be/O96bs8FUufQ?si=XNkCHD7wt1IjSC8B</t>
  </si>
  <si>
    <t>[1]:01:20</t>
  </si>
  <si>
    <t>https://youtu.be/pg0_QQF8fs0?si=z-E2WUl7oDIgEHPc</t>
  </si>
  <si>
    <t>[1]:00:05</t>
  </si>
  <si>
    <t>https://youtu.be/PIUT-DRXwSs?si=FMZxUr64qxt741S8</t>
  </si>
  <si>
    <t>[1]:38:46</t>
  </si>
  <si>
    <t>https://youtu.be/ZOOPrGW48VI?si=6zBFiBq6JaeN3dWY</t>
  </si>
  <si>
    <t>[1]:11:57</t>
  </si>
  <si>
    <t>https://youtu.be/E7uySAuhGJI?si=dtT60Z1BrHOA3Qb7</t>
  </si>
  <si>
    <t>[0]:52:11</t>
  </si>
  <si>
    <t>https://youtu.be/DxWhBLqMHAg?si=pE-xXlIy8ulTU9vI</t>
  </si>
  <si>
    <t>[1]:11:28</t>
  </si>
  <si>
    <t>https://youtu.be/WD4XlvCdhys?si=jc0L82lP60K8GCcd</t>
  </si>
  <si>
    <t>[1]:00:02</t>
  </si>
  <si>
    <t>https://youtu.be/FVqC5wm55aw?si=Nb7K5if98pWmlhrZ</t>
  </si>
  <si>
    <t>[0]:58:45</t>
  </si>
  <si>
    <t>https://youtu.be/mlRnSFd-u5Q?si=TFBgr1DWCdACpHep</t>
  </si>
  <si>
    <t>[1]:18:48</t>
  </si>
  <si>
    <t>https://youtu.be/zlWNVgfr0BM?si=lMHCC1X1FPCegkoP</t>
  </si>
  <si>
    <t>[0]:02:17</t>
  </si>
  <si>
    <t>OnnoRokom Pathshala HSC ICT  shongkha poddhoti o digital device</t>
  </si>
  <si>
    <t>https://youtu.be/cwejv5xQriM?si=SuEdc3HqNNLrOt5A</t>
  </si>
  <si>
    <t>[1]:27:19</t>
  </si>
  <si>
    <t>https://youtu.be/gjAspI-ZTi0?si=yIosLGFCxF_ORfDr</t>
  </si>
  <si>
    <t>[0]:50:23</t>
  </si>
  <si>
    <t>https://youtu.be/kr2jpmLMWrk?si=Em4AJp0G8oNr_fOz</t>
  </si>
  <si>
    <t>[1]:10:14</t>
  </si>
  <si>
    <t>https://youtu.be/Jwj_HmQrKTA?si=9pGTG41Zl6tU_SSK</t>
  </si>
  <si>
    <t>[0]:49:32</t>
  </si>
  <si>
    <t>https://youtu.be/2I0XcyKCYNg?si=qSKZMfBVb9jcsiOr</t>
  </si>
  <si>
    <t>[1]:10:03</t>
  </si>
  <si>
    <t>https://youtu.be/_WuSR_VB2OI?si=0IOh5IV3Fl-UchSP</t>
  </si>
  <si>
    <t>[1]:10:27</t>
  </si>
  <si>
    <t>https://youtu.be/EIYmlmprnFI?si=mbFXWJxgeH2BRYVd</t>
  </si>
  <si>
    <t>[0]:52:59</t>
  </si>
  <si>
    <t>https://youtu.be/7_cvxRt-CZs?si=ilzp2zP2Px4HBzRf</t>
  </si>
  <si>
    <t>[1]:04:09</t>
  </si>
  <si>
    <t>https://youtu.be/oGOqPqKwDL4?si=09ZkfPLml-7kPeWn</t>
  </si>
  <si>
    <t>[1]:29:54</t>
  </si>
  <si>
    <t>https://youtu.be/KsRctVExOVU?si=yJWPMS1Cl8HJJyfU</t>
  </si>
  <si>
    <t>[1]:03:47</t>
  </si>
  <si>
    <t>https://youtu.be/dAsEEM7iveY?si=lxBNpMN3JrSlsvb1</t>
  </si>
  <si>
    <t>[1]:09:13</t>
  </si>
  <si>
    <t>https://youtu.be/2MkQyfBp4Xc?si=-rgxIPTIMfON5Fuc</t>
  </si>
  <si>
    <t>[0]:50:16</t>
  </si>
  <si>
    <t>https://youtu.be/o7P1W1pEyPo?si=GtrmL-6rVY3EFgpX</t>
  </si>
  <si>
    <t>[0]:33:03</t>
  </si>
  <si>
    <t>https://youtu.be/WziyntdCTBg?si=DiUg_D_iMkVxhjj6</t>
  </si>
  <si>
    <t>[1]:17:30</t>
  </si>
  <si>
    <t>https://youtu.be/sX4wTdPLeBY?si=M9d7xoW6sEj3LsyM</t>
  </si>
  <si>
    <t>[0]:55:02</t>
  </si>
  <si>
    <t>https://youtu.be/7HnR8iiYOts?si=ffPaK7TbnrYdy-JG</t>
  </si>
  <si>
    <t>[1]:31:27</t>
  </si>
  <si>
    <t>https://youtu.be/rJXF_gmtE-A?si=ftJ3kJdZa_Y9XShU</t>
  </si>
  <si>
    <t>[1]:12:04</t>
  </si>
  <si>
    <t>https://youtu.be/NAVfKKiKJGQ?si=nPsonu39onJ5lSIr</t>
  </si>
  <si>
    <t>[1]:25:17</t>
  </si>
  <si>
    <t>https://youtu.be/2HXY3LHXMaI?si=FXfSKk8d8424ix3o</t>
  </si>
  <si>
    <t>[1]:05:06</t>
  </si>
  <si>
    <t>https://youtu.be/KcyKax_XpBo?si=YtV6y3gbj4E1bhnY</t>
  </si>
  <si>
    <t>[0]:03:05</t>
  </si>
  <si>
    <t>OnnoRokom Pathshala HSC Kaj Khomota Shokti</t>
  </si>
  <si>
    <t>https://youtu.be/9HZkzDzZtfA?si=L0SEJ-ru_N50lHyF</t>
  </si>
  <si>
    <t>[1]:43:46</t>
  </si>
  <si>
    <t>https://youtu.be/w_Z1dwqbI1k?si=gxtm2r_jU0NWdd2-</t>
  </si>
  <si>
    <t>[1]:42:48</t>
  </si>
  <si>
    <t>https://youtu.be/zFNIeZ9pEso?si=pSCIHz-oV5AJBVaT</t>
  </si>
  <si>
    <t>[1]:22:37</t>
  </si>
  <si>
    <t>https://youtu.be/GpNAzJ9eg7c?si=c_F5kGEOkdjDUkqa</t>
  </si>
  <si>
    <t>[0]:53:10</t>
  </si>
  <si>
    <t>https://youtu.be/T5Nha_s1Qac?si=cypA6dMl3VrigGF1</t>
  </si>
  <si>
    <t>[1]:26:05</t>
  </si>
  <si>
    <t>https://youtu.be/0VwU4J8HT88?si=I7OvPhIYFWvGysN1</t>
  </si>
  <si>
    <t>[1]:05:45</t>
  </si>
  <si>
    <t>https://youtu.be/npg0X8T7K9M?si=jxTG5r3WedoqL94b</t>
  </si>
  <si>
    <t>[1]:05:04</t>
  </si>
  <si>
    <t>https://youtu.be/6Ufli2EHHxk?si=__TH8Gz8eFB12rW0</t>
  </si>
  <si>
    <t>[0]:43:21</t>
  </si>
  <si>
    <t>https://youtu.be/qs-LGkXYQS8?si=8sgcvPL-RwA90h5G</t>
  </si>
  <si>
    <t>[1]:43:38</t>
  </si>
  <si>
    <t>https://youtu.be/f3dGRJoTMmM?si=RR6N3AsUZBkxQNXu</t>
  </si>
  <si>
    <t>[1]:46:51</t>
  </si>
  <si>
    <t>https://youtu.be/pF2XoTzZTP0?si=2PtBNF05GQCLxVjc</t>
  </si>
  <si>
    <t>[1]:43:40</t>
  </si>
  <si>
    <t>https://youtu.be/S_xOsmc1Psw?si=7SqCR6rkjStxYwF3</t>
  </si>
  <si>
    <t>[1]:39:01</t>
  </si>
  <si>
    <t>https://youtu.be/yJrPNH_-Bik?si=F397tkoLnQPBfIHt</t>
  </si>
  <si>
    <t>[2]:02:26</t>
  </si>
  <si>
    <t>https://youtu.be/esTkD7zVL_U?si=W19XfePdmFeB7_yq</t>
  </si>
  <si>
    <t>[1]:40:23</t>
  </si>
  <si>
    <t>https://youtu.be/W9bKOXxK6D4?si=IIy3PUCJFaZ4FhLZ</t>
  </si>
  <si>
    <t>[1]:42:37</t>
  </si>
  <si>
    <t>https://youtu.be/Jk3acx87Cxg?si=fUgFWrogt69QZ2Ys</t>
  </si>
  <si>
    <t>[0]:04:09</t>
  </si>
  <si>
    <t>OnnoRokom Pathshala HSC Tapgotibidda</t>
  </si>
  <si>
    <t>https://youtu.be/aVZSpgALnFE?si=ZRXMatk3AR_W4utj</t>
  </si>
  <si>
    <t>[2]:50:01</t>
  </si>
  <si>
    <t>https://youtu.be/HieH9UEDIU4?si=C5THVKrRLZTYTcjj</t>
  </si>
  <si>
    <t>[1]:54:26</t>
  </si>
  <si>
    <t>https://youtu.be/11umyWzvwm4?si=g25VGAMdLGicOa-u</t>
  </si>
  <si>
    <t>[3]:52:37</t>
  </si>
  <si>
    <t>https://youtu.be/q69jJNjbTyo?si=RbaL7mywAymBe-Bz</t>
  </si>
  <si>
    <t>[1]:49:31</t>
  </si>
  <si>
    <t>https://youtu.be/FOTFlUZtFt4?si=U6XvFCF9nodm7GO0</t>
  </si>
  <si>
    <t>[2]:16:52</t>
  </si>
  <si>
    <t>https://youtu.be/rLGD0qvdNR4?si=jekJkTOc9d7fIoB9</t>
  </si>
  <si>
    <t>[2]:25:21</t>
  </si>
  <si>
    <t>https://youtu.be/IxhnApAFQ-0?si=anSUP52STn8lR642</t>
  </si>
  <si>
    <t>[2]:06:59</t>
  </si>
  <si>
    <t>https://youtu.be/FuI0KSuQ8iM?si=C19pTuOldxxVOm9u</t>
  </si>
  <si>
    <t>[1]:56:08</t>
  </si>
  <si>
    <t>https://youtu.be/byXszTtFDs0?si=wqtlP9Nctu_yXieL</t>
  </si>
  <si>
    <t>[2]:57:57</t>
  </si>
  <si>
    <t>https://youtu.be/V3IPSo4z86w?si=3KtSBDnn-B3V2sR5</t>
  </si>
  <si>
    <t>[3]:01:14</t>
  </si>
  <si>
    <t>https://youtu.be/Nfvpi8ixZTM?si=JcakP2wx7Sjx-Ivb</t>
  </si>
  <si>
    <t>[1]:26:59</t>
  </si>
  <si>
    <t>https://youtu.be/KfRxmjMHN-A?si=eynYrRbIuTQYSKjn</t>
  </si>
  <si>
    <t>[2]:32:46</t>
  </si>
  <si>
    <t>OnnoRokom Pathshala Mouler Porjaybritto dhormo</t>
  </si>
  <si>
    <t>https://youtu.be/Fb1OVxf4qYs?si=3jrDLw6zpTn2mIA7</t>
  </si>
  <si>
    <t>[1]:56:15</t>
  </si>
  <si>
    <t>https://youtu.be/5MwIs3GdkTI?si=BnhP8M6yt4gsYv1N</t>
  </si>
  <si>
    <t>[1]:17:36</t>
  </si>
  <si>
    <t>https://youtu.be/EPXsrMC_Mig?si=WYaidqu0k_dLjN-B</t>
  </si>
  <si>
    <t>[1]:27:00</t>
  </si>
  <si>
    <t>https://youtu.be/f49Pu31rX_M?si=jiKRmHrwlQlAO40z</t>
  </si>
  <si>
    <t>[1]:17:37</t>
  </si>
  <si>
    <t>https://youtu.be/ODsxTiX9iCw?si=Z0iHHC_9zX1RIvIv</t>
  </si>
  <si>
    <t>[1]:50:48</t>
  </si>
  <si>
    <t>https://youtu.be/ohRzKCuaF2U?si=r89XGronXQJBQvPI</t>
  </si>
  <si>
    <t>[1]:52:25</t>
  </si>
  <si>
    <t>https://youtu.be/XIeeyJHPKM8?si=sMQ0CyFGOfhFXtbW</t>
  </si>
  <si>
    <t>[1]:37:07</t>
  </si>
  <si>
    <t>https://youtu.be/f1-Tnp5ftcg?si=kHKW4QtbXZtbK8_W</t>
  </si>
  <si>
    <t>[1]:04:08</t>
  </si>
  <si>
    <t>https://youtu.be/d5HPD0NEq-c?si=AWJCDYf8PmaEkhNy</t>
  </si>
  <si>
    <t>[1]:50:41</t>
  </si>
  <si>
    <t>https://youtu.be/k9D912SCXRw?si=u84MkS4cFSekuCh4</t>
  </si>
  <si>
    <t>[2]:23:11</t>
  </si>
  <si>
    <t>https://youtu.be/RYIbr8dV4BM?si=3Q7HRJBpFgmiT-tY</t>
  </si>
  <si>
    <t>[2]:15:19</t>
  </si>
  <si>
    <t>https://youtu.be/knSae_haD_k?si=vDDuzcw1KIWz5L13</t>
  </si>
  <si>
    <t>[1]:07:39</t>
  </si>
  <si>
    <t>https://youtu.be/2o5tVzyJaiY?si=eLc9bF8UKMV3_WCD</t>
  </si>
  <si>
    <t>[1]:36:16</t>
  </si>
  <si>
    <t>https://youtu.be/WOYiP5TmWMM?si=_VZ6hbupkl8eGGAy</t>
  </si>
  <si>
    <t>[1]:36:29</t>
  </si>
  <si>
    <t>https://youtu.be/tXgVpPOo5Ks?si=jbhjEAnLoF5QUtbf</t>
  </si>
  <si>
    <t>[1]:43:14</t>
  </si>
  <si>
    <t>https://youtu.be/eOpC0HLx8Y0?si=xfi3Z9em2CcxxyPQ</t>
  </si>
  <si>
    <t>[0]:54:52</t>
  </si>
  <si>
    <t>https://youtu.be/NGhGueM5KWU?si=F5U6JyhUIX1JOI74</t>
  </si>
  <si>
    <t>[1]:06:18</t>
  </si>
  <si>
    <t>https://youtu.be/ifgdLPspQFE?si=gwzP--FdgWJagdI4</t>
  </si>
  <si>
    <t>[0]:22:37</t>
  </si>
  <si>
    <t>https://youtu.be/_BWhmWa7USA?si=GbZDkBDK6PsYAPmr</t>
  </si>
  <si>
    <t>[1]:22:35</t>
  </si>
  <si>
    <t>https://youtu.be/qYXvf4MS2C8?si=hNT64-TUor-s7RfR</t>
  </si>
  <si>
    <t>[0]:45:42</t>
  </si>
  <si>
    <t>https://youtu.be/I5DlGklyHrU?si=_VUVI1ERsH_sakv3</t>
  </si>
  <si>
    <t>[1]:38:39</t>
  </si>
  <si>
    <t>https://youtu.be/0tdYOe9pySk?si=OuMI_iDZAG1tkJC2</t>
  </si>
  <si>
    <t>[0]:58:43</t>
  </si>
  <si>
    <t>https://youtu.be/V23hg-ZpWnY?si=TXCjTqBz9l-Mooks</t>
  </si>
  <si>
    <t>[1]:12:08</t>
  </si>
  <si>
    <t>https://youtu.be/zGGJ8EbNwg0?si=6nuhJKnvOpeV_jZ9</t>
  </si>
  <si>
    <t>[1]:03:29</t>
  </si>
  <si>
    <t>https://youtu.be/4dsSo6IYa2w?si=85eQ0h0yAotwedrE</t>
  </si>
  <si>
    <t>[0]:39:56</t>
  </si>
  <si>
    <t>https://youtu.be/puSludRuaVg?si=8MqgxR2numxWwDvq</t>
  </si>
  <si>
    <t>[1]:22:46</t>
  </si>
  <si>
    <t>https://youtu.be/bvsD4agXVVM?si=SD0tbaBIQsjbiMX7</t>
  </si>
  <si>
    <t>[2]:11:37</t>
  </si>
  <si>
    <t>https://youtu.be/t23V6Dd3TTI?si=YZw5gNgjAxvtINkr</t>
  </si>
  <si>
    <t>[1]:59:56</t>
  </si>
  <si>
    <t>https://youtu.be/wqR4rSRn9dI?si=upfcNkQYmY7XdQ4V</t>
  </si>
  <si>
    <t>[0]:40:44</t>
  </si>
  <si>
    <t>https://youtu.be/NpWhzfdsuDY?si=QdgcHk5hosctvrGn</t>
  </si>
  <si>
    <t>[0]:41:34</t>
  </si>
  <si>
    <t>https://youtu.be/NpWhzfdsuDY?si=9zIGKWr7jfWJZARC</t>
  </si>
  <si>
    <t>[0]:58:07</t>
  </si>
  <si>
    <t>https://youtu.be/2sSwGWyJmGM?si=5tDPWjwi647VcKRl</t>
  </si>
  <si>
    <t>OnnoRokom Pathshala Vector</t>
  </si>
  <si>
    <t>https://youtu.be/KBrGFWXTwV0?si=GVoR7W3fQ63GjNxX</t>
  </si>
  <si>
    <t>[1]:05:24</t>
  </si>
  <si>
    <t>https://youtu.be/QbEWE1yPzvo?si=SKTDzF0Jl9bFelMt</t>
  </si>
  <si>
    <t>[0]:52:03</t>
  </si>
  <si>
    <t>https://youtu.be/Qg5ZiHcSEjU?si=-sRiQSCrb7RAg94i</t>
  </si>
  <si>
    <t>[0]:40:40</t>
  </si>
  <si>
    <t>https://youtu.be/U9LrAjgI_iM?si=t87yjMgvNPL6W_F3</t>
  </si>
  <si>
    <t>[1]:02:18</t>
  </si>
  <si>
    <t>https://youtu.be/z9uOIMFZUsc?si=P8rgsXXgUzVvfW1r</t>
  </si>
  <si>
    <t>[0]:51:07</t>
  </si>
  <si>
    <t>https://youtu.be/EuzOH3IDLrY?si=9iq9iBCRXc4X8VgR</t>
  </si>
  <si>
    <t>[1]:25:38</t>
  </si>
  <si>
    <t>https://youtu.be/FCkCL_QqOkM?si=sAzqCJEJhnchFmNN</t>
  </si>
  <si>
    <t>[0]:52:53</t>
  </si>
  <si>
    <t>https://youtu.be/24QzMItRqo8?si=1Z6gyE6ejsLA2oJG</t>
  </si>
  <si>
    <t>[1]:08:25</t>
  </si>
  <si>
    <t>https://youtu.be/6Xtn9stWIvs?si=gW7xKrI38lUgBbXs</t>
  </si>
  <si>
    <t>[0]:29:53</t>
  </si>
  <si>
    <t>https://youtu.be/IyeU5GB5pEE?si=RTkSnGBMBb6ZcsXC</t>
  </si>
  <si>
    <t>[0]:36:32</t>
  </si>
  <si>
    <t>https://youtu.be/iTLUn6xKB7U?si=eDN9z4QG7JGWwORH</t>
  </si>
  <si>
    <t>[1]:07:06</t>
  </si>
  <si>
    <t>https://youtu.be/exGUpKbfs88?si=PThxDvtXLRN0wpWD</t>
  </si>
  <si>
    <t>[1]:15:46</t>
  </si>
  <si>
    <t>Fahad's tutorial</t>
  </si>
  <si>
    <t>https://youtu.be/XqgeRVcrjrY?si=b60Lf3c4xdLsvCqO</t>
  </si>
  <si>
    <t>[0]:35:13</t>
  </si>
  <si>
    <t>BIOLOGY</t>
  </si>
  <si>
    <t>https://youtu.be/AUAJ2VUQMjY?si=0phnkJf0_LGegh0-</t>
  </si>
  <si>
    <t>[1]:04:10</t>
  </si>
  <si>
    <t>https://youtu.be/MSHx04NaS9U?si=2ry4Zx3nAnSzRGoV</t>
  </si>
  <si>
    <t>[0]:41:59</t>
  </si>
  <si>
    <t>https://youtu.be/7G-onduPtWo?si=WvPbiWepL1ZRkQx2</t>
  </si>
  <si>
    <t>[0]:56:25</t>
  </si>
  <si>
    <t>https://youtu.be/TUqiGW-zWlY?si=9PZYZXTYXXMVnPX8</t>
  </si>
  <si>
    <t>[4]:20:45</t>
  </si>
  <si>
    <t>https://youtu.be/KtqyZ-ANMUk?si=3sr9kkLRv8w6eahh</t>
  </si>
  <si>
    <t>[4]:06:24</t>
  </si>
  <si>
    <t>Math &amp; Science Nerds</t>
  </si>
  <si>
    <t>https://youtu.be/yO-qpIO6rQU?si=8IyB4HFq1q0MIdSf</t>
  </si>
  <si>
    <t>[2]:51:53</t>
  </si>
  <si>
    <t>https://youtu.be/KBrLO601OVU?si=RgbwAq_aEw5x20MX</t>
  </si>
  <si>
    <t>[2]:31:14</t>
  </si>
  <si>
    <t>https://youtu.be/-WP3xRkTuaM?si=4bOQG_Au5QQLode-</t>
  </si>
  <si>
    <t>[4]:11:17</t>
  </si>
  <si>
    <t>Chunk_duration</t>
  </si>
  <si>
    <t>Avg chunk duration</t>
  </si>
  <si>
    <t>Topic</t>
  </si>
  <si>
    <t>Differentiation</t>
  </si>
  <si>
    <t>Work, Energy &amp; Power</t>
  </si>
  <si>
    <t>Straight Line</t>
  </si>
  <si>
    <t>Matrix &amp; Determinant</t>
  </si>
  <si>
    <t>Complex Number</t>
  </si>
  <si>
    <t>Quantitative Chemistry</t>
  </si>
  <si>
    <t>Newtonian Mechanics</t>
  </si>
  <si>
    <t>Periodic Properties</t>
  </si>
  <si>
    <t>Statics</t>
  </si>
  <si>
    <t>Organic Chemistry</t>
  </si>
  <si>
    <t>Atomic Structure</t>
  </si>
  <si>
    <t>Qualitative Chemistry</t>
  </si>
  <si>
    <t>Integration</t>
  </si>
  <si>
    <t>Semiconductor &amp; Electronics</t>
  </si>
  <si>
    <t>Communication Systems and Network</t>
  </si>
  <si>
    <t>Conics</t>
  </si>
  <si>
    <t>Chemical Change</t>
  </si>
  <si>
    <t>Vector</t>
  </si>
  <si>
    <t>Static Electricity</t>
  </si>
  <si>
    <t>States of Matter</t>
  </si>
  <si>
    <t>Algebraic Expression</t>
  </si>
  <si>
    <t>Dynamics</t>
  </si>
  <si>
    <t>Optics</t>
  </si>
  <si>
    <t>Polynomial Equations</t>
  </si>
  <si>
    <t>Function</t>
  </si>
  <si>
    <t>Statistics</t>
  </si>
  <si>
    <t>Trigonometry</t>
  </si>
  <si>
    <t>Real Number</t>
  </si>
  <si>
    <t>AI</t>
  </si>
  <si>
    <t>Vocational Chemistry</t>
  </si>
  <si>
    <t>Communication Systems</t>
  </si>
  <si>
    <t>Modern Physics</t>
  </si>
  <si>
    <t>Thermodynamics</t>
  </si>
  <si>
    <t>Magnetism</t>
  </si>
  <si>
    <t>Motion</t>
  </si>
  <si>
    <t>Number System</t>
  </si>
  <si>
    <t>Logic</t>
  </si>
  <si>
    <t>Programming Language</t>
  </si>
  <si>
    <t>Algorithm</t>
  </si>
  <si>
    <t>Gymnosperm and Angiosperm</t>
  </si>
  <si>
    <t>Human Physiology</t>
  </si>
  <si>
    <t>Animal’s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</si>
</sst>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0" xfId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0" fontId="3" fillId="0" borderId="0" xfId="1" applyAlignment="1">
      <alignment horizontal="left"/>
    </xf>
    <xf numFmtId="21" fontId="0" fillId="0" borderId="0" xfId="0" applyNumberFormat="1" applyAlignment="1">
      <alignment horizont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2I0XcyKCYNg?si=qSKZMfBVb9jcsiOr" TargetMode="External"/><Relationship Id="rId21" Type="http://schemas.openxmlformats.org/officeDocument/2006/relationships/hyperlink" Target="https://youtu.be/dUHWge9CIJ4?si=8PouCvN9nU95dija" TargetMode="External"/><Relationship Id="rId42" Type="http://schemas.openxmlformats.org/officeDocument/2006/relationships/hyperlink" Target="https://youtu.be/Pmb5ady__cE?si=KfN3NJpJnVvXcghy" TargetMode="External"/><Relationship Id="rId63" Type="http://schemas.openxmlformats.org/officeDocument/2006/relationships/hyperlink" Target="https://youtu.be/YMZ5R_AFrN4?si=ckWq2Md2FSSRIlvR" TargetMode="External"/><Relationship Id="rId84" Type="http://schemas.openxmlformats.org/officeDocument/2006/relationships/hyperlink" Target="https://youtu.be/KRwKCkPa1e0?si=lNRBtMbzdyMoa4PI" TargetMode="External"/><Relationship Id="rId138" Type="http://schemas.openxmlformats.org/officeDocument/2006/relationships/hyperlink" Target="https://youtu.be/0VwU4J8HT88?si=I7OvPhIYFWvGysN1" TargetMode="External"/><Relationship Id="rId159" Type="http://schemas.openxmlformats.org/officeDocument/2006/relationships/hyperlink" Target="https://youtu.be/Nfvpi8ixZTM?si=JcakP2wx7Sjx-Ivb" TargetMode="External"/><Relationship Id="rId170" Type="http://schemas.openxmlformats.org/officeDocument/2006/relationships/hyperlink" Target="https://youtu.be/k9D912SCXRw?si=u84MkS4cFSekuCh4" TargetMode="External"/><Relationship Id="rId191" Type="http://schemas.openxmlformats.org/officeDocument/2006/relationships/hyperlink" Target="https://youtu.be/NpWhzfdsuDY?si=9zIGKWr7jfWJZARC" TargetMode="External"/><Relationship Id="rId205" Type="http://schemas.openxmlformats.org/officeDocument/2006/relationships/hyperlink" Target="https://youtu.be/XqgeRVcrjrY?si=b60Lf3c4xdLsvCqO" TargetMode="External"/><Relationship Id="rId107" Type="http://schemas.openxmlformats.org/officeDocument/2006/relationships/hyperlink" Target="https://youtu.be/E7uySAuhGJI?si=dtT60Z1BrHOA3Qb7" TargetMode="External"/><Relationship Id="rId11" Type="http://schemas.openxmlformats.org/officeDocument/2006/relationships/hyperlink" Target="https://youtu.be/HEsUTqrwPhY?si=FKDnSCAAyiLE4Si6" TargetMode="External"/><Relationship Id="rId32" Type="http://schemas.openxmlformats.org/officeDocument/2006/relationships/hyperlink" Target="https://youtu.be/MpE7dWV_KDw?si=nfhvt8h8TZSu_g5D" TargetMode="External"/><Relationship Id="rId53" Type="http://schemas.openxmlformats.org/officeDocument/2006/relationships/hyperlink" Target="https://youtu.be/JIycB7nEq10?si=vpX0MXwsRdrWSkN2" TargetMode="External"/><Relationship Id="rId74" Type="http://schemas.openxmlformats.org/officeDocument/2006/relationships/hyperlink" Target="https://www.youtube.com/watch?v=RFki_b7GN-4" TargetMode="External"/><Relationship Id="rId128" Type="http://schemas.openxmlformats.org/officeDocument/2006/relationships/hyperlink" Target="https://youtu.be/7HnR8iiYOts?si=ffPaK7TbnrYdy-JG" TargetMode="External"/><Relationship Id="rId149" Type="http://schemas.openxmlformats.org/officeDocument/2006/relationships/hyperlink" Target="https://youtu.be/aVZSpgALnFE?si=ZRXMatk3AR_W4utj" TargetMode="External"/><Relationship Id="rId5" Type="http://schemas.openxmlformats.org/officeDocument/2006/relationships/hyperlink" Target="https://youtu.be/Lf7L_EcxLWk?si=LL_RQ4egxXhCvatN" TargetMode="External"/><Relationship Id="rId95" Type="http://schemas.openxmlformats.org/officeDocument/2006/relationships/hyperlink" Target="https://youtu.be/FcDOiqHbGYA?si=YFpmTRUH2HhAX1F_" TargetMode="External"/><Relationship Id="rId160" Type="http://schemas.openxmlformats.org/officeDocument/2006/relationships/hyperlink" Target="https://youtu.be/KfRxmjMHN-A?si=eynYrRbIuTQYSKjn" TargetMode="External"/><Relationship Id="rId181" Type="http://schemas.openxmlformats.org/officeDocument/2006/relationships/hyperlink" Target="https://youtu.be/I5DlGklyHrU?si=_VUVI1ERsH_sakv3" TargetMode="External"/><Relationship Id="rId22" Type="http://schemas.openxmlformats.org/officeDocument/2006/relationships/hyperlink" Target="https://youtu.be/3s-am8Rs878?si=BwoxYDYBSvKJI7Gr" TargetMode="External"/><Relationship Id="rId43" Type="http://schemas.openxmlformats.org/officeDocument/2006/relationships/hyperlink" Target="https://youtu.be/JfvGXKBWRpw?si=FgFKytrzA4uL1G_y" TargetMode="External"/><Relationship Id="rId64" Type="http://schemas.openxmlformats.org/officeDocument/2006/relationships/hyperlink" Target="https://youtu.be/DojNEgrd-Hg?si=SlFoQ9OOGlSJu21S" TargetMode="External"/><Relationship Id="rId118" Type="http://schemas.openxmlformats.org/officeDocument/2006/relationships/hyperlink" Target="https://youtu.be/_WuSR_VB2OI?si=0IOh5IV3Fl-UchSP" TargetMode="External"/><Relationship Id="rId139" Type="http://schemas.openxmlformats.org/officeDocument/2006/relationships/hyperlink" Target="https://youtu.be/npg0X8T7K9M?si=jxTG5r3WedoqL94b" TargetMode="External"/><Relationship Id="rId85" Type="http://schemas.openxmlformats.org/officeDocument/2006/relationships/hyperlink" Target="https://youtu.be/etf0HL1R3W4?si=1Z3z7D4NBMAAQifm" TargetMode="External"/><Relationship Id="rId150" Type="http://schemas.openxmlformats.org/officeDocument/2006/relationships/hyperlink" Target="https://youtu.be/HieH9UEDIU4?si=C5THVKrRLZTYTcjj" TargetMode="External"/><Relationship Id="rId171" Type="http://schemas.openxmlformats.org/officeDocument/2006/relationships/hyperlink" Target="https://youtu.be/RYIbr8dV4BM?si=3Q7HRJBpFgmiT-tY" TargetMode="External"/><Relationship Id="rId192" Type="http://schemas.openxmlformats.org/officeDocument/2006/relationships/hyperlink" Target="https://youtu.be/2sSwGWyJmGM?si=5tDPWjwi647VcKRl" TargetMode="External"/><Relationship Id="rId206" Type="http://schemas.openxmlformats.org/officeDocument/2006/relationships/hyperlink" Target="https://youtu.be/AUAJ2VUQMjY?si=0phnkJf0_LGegh0-" TargetMode="External"/><Relationship Id="rId12" Type="http://schemas.openxmlformats.org/officeDocument/2006/relationships/hyperlink" Target="https://youtu.be/rjoOajoAWWI?si=aQLSCwIwJA4pizaU" TargetMode="External"/><Relationship Id="rId33" Type="http://schemas.openxmlformats.org/officeDocument/2006/relationships/hyperlink" Target="https://youtu.be/JRzTpFTkCjk?si=MRZSZd4_NjLxZr6A" TargetMode="External"/><Relationship Id="rId108" Type="http://schemas.openxmlformats.org/officeDocument/2006/relationships/hyperlink" Target="https://youtu.be/DxWhBLqMHAg?si=pE-xXlIy8ulTU9vI" TargetMode="External"/><Relationship Id="rId129" Type="http://schemas.openxmlformats.org/officeDocument/2006/relationships/hyperlink" Target="https://youtu.be/rJXF_gmtE-A?si=ftJ3kJdZa_Y9XShU" TargetMode="External"/><Relationship Id="rId54" Type="http://schemas.openxmlformats.org/officeDocument/2006/relationships/hyperlink" Target="https://youtu.be/V941RGViSw0?si=9zVAFt-L-YsScNfs" TargetMode="External"/><Relationship Id="rId75" Type="http://schemas.openxmlformats.org/officeDocument/2006/relationships/hyperlink" Target="https://www.youtube.com/watch?v=eFe8P3eBDOo" TargetMode="External"/><Relationship Id="rId96" Type="http://schemas.openxmlformats.org/officeDocument/2006/relationships/hyperlink" Target="https://youtu.be/a6qsc_Ihfao?si=mff3yWT1rw9fmiWT" TargetMode="External"/><Relationship Id="rId140" Type="http://schemas.openxmlformats.org/officeDocument/2006/relationships/hyperlink" Target="https://youtu.be/6Ufli2EHHxk?si=__TH8Gz8eFB12rW0" TargetMode="External"/><Relationship Id="rId161" Type="http://schemas.openxmlformats.org/officeDocument/2006/relationships/hyperlink" Target="https://youtu.be/Fb1OVxf4qYs?si=3jrDLw6zpTn2mIA7" TargetMode="External"/><Relationship Id="rId182" Type="http://schemas.openxmlformats.org/officeDocument/2006/relationships/hyperlink" Target="https://youtu.be/0tdYOe9pySk?si=OuMI_iDZAG1tkJC2" TargetMode="External"/><Relationship Id="rId6" Type="http://schemas.openxmlformats.org/officeDocument/2006/relationships/hyperlink" Target="https://youtu.be/kkrfB_JfOqU?si=bQ6WVhZFDG8mk95C" TargetMode="External"/><Relationship Id="rId23" Type="http://schemas.openxmlformats.org/officeDocument/2006/relationships/hyperlink" Target="https://youtu.be/I11mrqLCPXk?si=W4Dh-KJUm5rHiuKkhttps://youtu.be/I11mrqLCPXk?si=W4Dh-KJUm5rHiuKk" TargetMode="External"/><Relationship Id="rId119" Type="http://schemas.openxmlformats.org/officeDocument/2006/relationships/hyperlink" Target="https://youtu.be/EIYmlmprnFI?si=mbFXWJxgeH2BRYVd" TargetMode="External"/><Relationship Id="rId44" Type="http://schemas.openxmlformats.org/officeDocument/2006/relationships/hyperlink" Target="https://youtu.be/dWeNXakFo5Y?si=IyFm4ZLInYNw9nde" TargetMode="External"/><Relationship Id="rId65" Type="http://schemas.openxmlformats.org/officeDocument/2006/relationships/hyperlink" Target="https://youtu.be/Onk84i7FSBo?si=GL-84ynfVm8I0BEn" TargetMode="External"/><Relationship Id="rId86" Type="http://schemas.openxmlformats.org/officeDocument/2006/relationships/hyperlink" Target="https://youtu.be/JGxy-lCgWOU?si=gbVfvm3nGuf3w4QF" TargetMode="External"/><Relationship Id="rId130" Type="http://schemas.openxmlformats.org/officeDocument/2006/relationships/hyperlink" Target="https://youtu.be/NAVfKKiKJGQ?si=nPsonu39onJ5lSIr" TargetMode="External"/><Relationship Id="rId151" Type="http://schemas.openxmlformats.org/officeDocument/2006/relationships/hyperlink" Target="https://youtu.be/11umyWzvwm4?si=g25VGAMdLGicOa-u" TargetMode="External"/><Relationship Id="rId172" Type="http://schemas.openxmlformats.org/officeDocument/2006/relationships/hyperlink" Target="https://youtu.be/knSae_haD_k?si=vDDuzcw1KIWz5L13" TargetMode="External"/><Relationship Id="rId193" Type="http://schemas.openxmlformats.org/officeDocument/2006/relationships/hyperlink" Target="https://youtu.be/KBrGFWXTwV0?si=GVoR7W3fQ63GjNxX" TargetMode="External"/><Relationship Id="rId207" Type="http://schemas.openxmlformats.org/officeDocument/2006/relationships/hyperlink" Target="https://youtu.be/MSHx04NaS9U?si=2ry4Zx3nAnSzRGoV" TargetMode="External"/><Relationship Id="rId13" Type="http://schemas.openxmlformats.org/officeDocument/2006/relationships/hyperlink" Target="https://youtu.be/ZvFeC0lp3Ig?si=DYzLmnvGuHlfByWZ" TargetMode="External"/><Relationship Id="rId109" Type="http://schemas.openxmlformats.org/officeDocument/2006/relationships/hyperlink" Target="https://youtu.be/WD4XlvCdhys?si=jc0L82lP60K8GCcd" TargetMode="External"/><Relationship Id="rId34" Type="http://schemas.openxmlformats.org/officeDocument/2006/relationships/hyperlink" Target="https://youtu.be/JRzTpFTkCjk?si=MRZSZd4_NjLxZr6A" TargetMode="External"/><Relationship Id="rId55" Type="http://schemas.openxmlformats.org/officeDocument/2006/relationships/hyperlink" Target="https://youtu.be/KM4YXq-b4Ss?si=ReKQCSsY8Q2aMakN" TargetMode="External"/><Relationship Id="rId76" Type="http://schemas.openxmlformats.org/officeDocument/2006/relationships/hyperlink" Target="https://www.youtube.com/watch?v=DlfoDGCPSY8" TargetMode="External"/><Relationship Id="rId97" Type="http://schemas.openxmlformats.org/officeDocument/2006/relationships/hyperlink" Target="https://youtu.be/cHlN8eFVqKg?si=OogPybN_xJERr3NW" TargetMode="External"/><Relationship Id="rId120" Type="http://schemas.openxmlformats.org/officeDocument/2006/relationships/hyperlink" Target="https://youtu.be/7_cvxRt-CZs?si=ilzp2zP2Px4HBzRf" TargetMode="External"/><Relationship Id="rId141" Type="http://schemas.openxmlformats.org/officeDocument/2006/relationships/hyperlink" Target="https://youtu.be/qs-LGkXYQS8?si=8sgcvPL-RwA90h5G" TargetMode="External"/><Relationship Id="rId7" Type="http://schemas.openxmlformats.org/officeDocument/2006/relationships/hyperlink" Target="https://youtu.be/IsppOOYxSTE?si=QMNrmQEQkJmtGLQR" TargetMode="External"/><Relationship Id="rId162" Type="http://schemas.openxmlformats.org/officeDocument/2006/relationships/hyperlink" Target="https://youtu.be/5MwIs3GdkTI?si=BnhP8M6yt4gsYv1N" TargetMode="External"/><Relationship Id="rId183" Type="http://schemas.openxmlformats.org/officeDocument/2006/relationships/hyperlink" Target="https://youtu.be/V23hg-ZpWnY?si=TXCjTqBz9l-Mooks" TargetMode="External"/><Relationship Id="rId24" Type="http://schemas.openxmlformats.org/officeDocument/2006/relationships/hyperlink" Target="https://youtu.be/vfkVGIv5TUM?si=YyrMK1O4YuPySEpX" TargetMode="External"/><Relationship Id="rId45" Type="http://schemas.openxmlformats.org/officeDocument/2006/relationships/hyperlink" Target="https://youtu.be/SLiXJNDibx0?si=q-RCbHkFz0kaurWb" TargetMode="External"/><Relationship Id="rId66" Type="http://schemas.openxmlformats.org/officeDocument/2006/relationships/hyperlink" Target="https://youtu.be/HIjyqrjC9xA?si=9IkTd4eC3_ohezCr" TargetMode="External"/><Relationship Id="rId87" Type="http://schemas.openxmlformats.org/officeDocument/2006/relationships/hyperlink" Target="https://youtu.be/HuT-we8UH5Y?si=FLbjePK6q-v1T9Qp" TargetMode="External"/><Relationship Id="rId110" Type="http://schemas.openxmlformats.org/officeDocument/2006/relationships/hyperlink" Target="https://youtu.be/FVqC5wm55aw?si=Nb7K5if98pWmlhrZ" TargetMode="External"/><Relationship Id="rId131" Type="http://schemas.openxmlformats.org/officeDocument/2006/relationships/hyperlink" Target="https://youtu.be/2HXY3LHXMaI?si=FXfSKk8d8424ix3o" TargetMode="External"/><Relationship Id="rId152" Type="http://schemas.openxmlformats.org/officeDocument/2006/relationships/hyperlink" Target="https://youtu.be/q69jJNjbTyo?si=RbaL7mywAymBe-Bz" TargetMode="External"/><Relationship Id="rId173" Type="http://schemas.openxmlformats.org/officeDocument/2006/relationships/hyperlink" Target="https://youtu.be/2o5tVzyJaiY?si=eLc9bF8UKMV3_WCD" TargetMode="External"/><Relationship Id="rId194" Type="http://schemas.openxmlformats.org/officeDocument/2006/relationships/hyperlink" Target="https://youtu.be/QbEWE1yPzvo?si=SKTDzF0Jl9bFelMt" TargetMode="External"/><Relationship Id="rId208" Type="http://schemas.openxmlformats.org/officeDocument/2006/relationships/hyperlink" Target="https://youtu.be/7G-onduPtWo?si=WvPbiWepL1ZRkQx2" TargetMode="External"/><Relationship Id="rId19" Type="http://schemas.openxmlformats.org/officeDocument/2006/relationships/hyperlink" Target="https://youtu.be/y1K653FyH74?si=jetHFTvJME1XgL7-" TargetMode="External"/><Relationship Id="rId14" Type="http://schemas.openxmlformats.org/officeDocument/2006/relationships/hyperlink" Target="https://youtu.be/K9gQssMA3yU?si=3zPUbZxM0UQ_V6Nt" TargetMode="External"/><Relationship Id="rId30" Type="http://schemas.openxmlformats.org/officeDocument/2006/relationships/hyperlink" Target="https://youtu.be/TMu7DfLFzPo?si=VAuXRXvFShGZNV_V" TargetMode="External"/><Relationship Id="rId35" Type="http://schemas.openxmlformats.org/officeDocument/2006/relationships/hyperlink" Target="https://youtu.be/zZGUxwEbpL0?si=G8BhgTrL6JLt2NLm" TargetMode="External"/><Relationship Id="rId56" Type="http://schemas.openxmlformats.org/officeDocument/2006/relationships/hyperlink" Target="https://youtu.be/i2zQZnJ3KG4?si=0t4Uwd8ME3Sdh_C4" TargetMode="External"/><Relationship Id="rId77" Type="http://schemas.openxmlformats.org/officeDocument/2006/relationships/hyperlink" Target="https://www.youtube.com/watch?v=MmQbIBpAbvg" TargetMode="External"/><Relationship Id="rId100" Type="http://schemas.openxmlformats.org/officeDocument/2006/relationships/hyperlink" Target="https://youtu.be/Iv9OkQWnXKc?si=Kq3vn-uLb7GHsd4y" TargetMode="External"/><Relationship Id="rId105" Type="http://schemas.openxmlformats.org/officeDocument/2006/relationships/hyperlink" Target="https://youtu.be/PIUT-DRXwSs?si=FMZxUr64qxt741S8" TargetMode="External"/><Relationship Id="rId126" Type="http://schemas.openxmlformats.org/officeDocument/2006/relationships/hyperlink" Target="https://youtu.be/WziyntdCTBg?si=DiUg_D_iMkVxhjj6" TargetMode="External"/><Relationship Id="rId147" Type="http://schemas.openxmlformats.org/officeDocument/2006/relationships/hyperlink" Target="https://youtu.be/W9bKOXxK6D4?si=IIy3PUCJFaZ4FhLZ" TargetMode="External"/><Relationship Id="rId168" Type="http://schemas.openxmlformats.org/officeDocument/2006/relationships/hyperlink" Target="https://youtu.be/f1-Tnp5ftcg?si=kHKW4QtbXZtbK8_W" TargetMode="External"/><Relationship Id="rId8" Type="http://schemas.openxmlformats.org/officeDocument/2006/relationships/hyperlink" Target="https://youtu.be/Y0vQO_lIfss?si=SwaUkE39jwMKOEkM" TargetMode="External"/><Relationship Id="rId51" Type="http://schemas.openxmlformats.org/officeDocument/2006/relationships/hyperlink" Target="https://youtu.be/9vfsreh_sZI?si=qnE0wmEWq8GKQ6zQ" TargetMode="External"/><Relationship Id="rId72" Type="http://schemas.openxmlformats.org/officeDocument/2006/relationships/hyperlink" Target="https://www.youtube.com/watch?v=DqTUoUaopP8" TargetMode="External"/><Relationship Id="rId93" Type="http://schemas.openxmlformats.org/officeDocument/2006/relationships/hyperlink" Target="https://youtu.be/pRevfpiaag4?si=CKFYtCVSiKF_vHZI" TargetMode="External"/><Relationship Id="rId98" Type="http://schemas.openxmlformats.org/officeDocument/2006/relationships/hyperlink" Target="https://youtu.be/CZVnfQBh-o4?si=KSuORKF3FQVmSAKn" TargetMode="External"/><Relationship Id="rId121" Type="http://schemas.openxmlformats.org/officeDocument/2006/relationships/hyperlink" Target="https://youtu.be/oGOqPqKwDL4?si=09ZkfPLml-7kPeWn" TargetMode="External"/><Relationship Id="rId142" Type="http://schemas.openxmlformats.org/officeDocument/2006/relationships/hyperlink" Target="https://youtu.be/f3dGRJoTMmM?si=RR6N3AsUZBkxQNXu" TargetMode="External"/><Relationship Id="rId163" Type="http://schemas.openxmlformats.org/officeDocument/2006/relationships/hyperlink" Target="https://youtu.be/EPXsrMC_Mig?si=WYaidqu0k_dLjN-B" TargetMode="External"/><Relationship Id="rId184" Type="http://schemas.openxmlformats.org/officeDocument/2006/relationships/hyperlink" Target="https://youtu.be/zGGJ8EbNwg0?si=6nuhJKnvOpeV_jZ9" TargetMode="External"/><Relationship Id="rId189" Type="http://schemas.openxmlformats.org/officeDocument/2006/relationships/hyperlink" Target="https://youtu.be/wqR4rSRn9dI?si=upfcNkQYmY7XdQ4V" TargetMode="External"/><Relationship Id="rId3" Type="http://schemas.openxmlformats.org/officeDocument/2006/relationships/hyperlink" Target="https://youtu.be/KRl_41EAJTA?si=QBadXMAhbMHwm-Ms" TargetMode="External"/><Relationship Id="rId25" Type="http://schemas.openxmlformats.org/officeDocument/2006/relationships/hyperlink" Target="https://youtu.be/S_U7HBFDW0Y?si=leh4lqZARN32hGvx" TargetMode="External"/><Relationship Id="rId46" Type="http://schemas.openxmlformats.org/officeDocument/2006/relationships/hyperlink" Target="https://youtu.be/DojNEgrd-Hg?si=fOWq03qNTHnuiX3z" TargetMode="External"/><Relationship Id="rId67" Type="http://schemas.openxmlformats.org/officeDocument/2006/relationships/hyperlink" Target="https://youtu.be/7Vg4JGVgFPA?si=MlKU8Kxi0r7K3xIe" TargetMode="External"/><Relationship Id="rId116" Type="http://schemas.openxmlformats.org/officeDocument/2006/relationships/hyperlink" Target="https://youtu.be/Jwj_HmQrKTA?si=9pGTG41Zl6tU_SSK" TargetMode="External"/><Relationship Id="rId137" Type="http://schemas.openxmlformats.org/officeDocument/2006/relationships/hyperlink" Target="https://youtu.be/T5Nha_s1Qac?si=cypA6dMl3VrigGF1" TargetMode="External"/><Relationship Id="rId158" Type="http://schemas.openxmlformats.org/officeDocument/2006/relationships/hyperlink" Target="https://youtu.be/V3IPSo4z86w?si=3KtSBDnn-B3V2sR5" TargetMode="External"/><Relationship Id="rId20" Type="http://schemas.openxmlformats.org/officeDocument/2006/relationships/hyperlink" Target="https://youtu.be/je6kgMouDAw?si=EPlc6jjaE1qKu8-x" TargetMode="External"/><Relationship Id="rId41" Type="http://schemas.openxmlformats.org/officeDocument/2006/relationships/hyperlink" Target="https://youtu.be/uvcnxSCOJjk?si=8wujYoDyiT6hJZiA" TargetMode="External"/><Relationship Id="rId62" Type="http://schemas.openxmlformats.org/officeDocument/2006/relationships/hyperlink" Target="https://youtu.be/JlFn434W8sw?si=-xXHeT3RMCraiXOq" TargetMode="External"/><Relationship Id="rId83" Type="http://schemas.openxmlformats.org/officeDocument/2006/relationships/hyperlink" Target="https://youtu.be/hYgkTeNsNmE?si=cr-RTVRr5_O5b44r" TargetMode="External"/><Relationship Id="rId88" Type="http://schemas.openxmlformats.org/officeDocument/2006/relationships/hyperlink" Target="https://youtu.be/vEgZSwW7Z84?si=ctEUifaXXcF63yWV" TargetMode="External"/><Relationship Id="rId111" Type="http://schemas.openxmlformats.org/officeDocument/2006/relationships/hyperlink" Target="https://youtu.be/mlRnSFd-u5Q?si=TFBgr1DWCdACpHep" TargetMode="External"/><Relationship Id="rId132" Type="http://schemas.openxmlformats.org/officeDocument/2006/relationships/hyperlink" Target="https://youtu.be/KcyKax_XpBo?si=YtV6y3gbj4E1bhnY" TargetMode="External"/><Relationship Id="rId153" Type="http://schemas.openxmlformats.org/officeDocument/2006/relationships/hyperlink" Target="https://youtu.be/FOTFlUZtFt4?si=U6XvFCF9nodm7GO0" TargetMode="External"/><Relationship Id="rId174" Type="http://schemas.openxmlformats.org/officeDocument/2006/relationships/hyperlink" Target="https://youtu.be/WOYiP5TmWMM?si=_VZ6hbupkl8eGGAy" TargetMode="External"/><Relationship Id="rId179" Type="http://schemas.openxmlformats.org/officeDocument/2006/relationships/hyperlink" Target="https://youtu.be/_BWhmWa7USA?si=GbZDkBDK6PsYAPmr" TargetMode="External"/><Relationship Id="rId195" Type="http://schemas.openxmlformats.org/officeDocument/2006/relationships/hyperlink" Target="https://youtu.be/Qg5ZiHcSEjU?si=-sRiQSCrb7RAg94i" TargetMode="External"/><Relationship Id="rId209" Type="http://schemas.openxmlformats.org/officeDocument/2006/relationships/hyperlink" Target="https://youtu.be/TUqiGW-zWlY?si=9PZYZXTYXXMVnPX8" TargetMode="External"/><Relationship Id="rId190" Type="http://schemas.openxmlformats.org/officeDocument/2006/relationships/hyperlink" Target="https://youtu.be/NpWhzfdsuDY?si=QdgcHk5hosctvrGn" TargetMode="External"/><Relationship Id="rId204" Type="http://schemas.openxmlformats.org/officeDocument/2006/relationships/hyperlink" Target="https://youtu.be/exGUpKbfs88?si=PThxDvtXLRN0wpWD" TargetMode="External"/><Relationship Id="rId15" Type="http://schemas.openxmlformats.org/officeDocument/2006/relationships/hyperlink" Target="https://youtu.be/p_tK1eBVccc?si=ZoL5hQHzfcaCwtdB" TargetMode="External"/><Relationship Id="rId36" Type="http://schemas.openxmlformats.org/officeDocument/2006/relationships/hyperlink" Target="https://youtu.be/iOXlR0vJTt0?si=ZrVLi5P_ffW2dNAB" TargetMode="External"/><Relationship Id="rId57" Type="http://schemas.openxmlformats.org/officeDocument/2006/relationships/hyperlink" Target="https://youtu.be/qHbr4h0IbEs?si=DNhqgnDANWnlIQSF" TargetMode="External"/><Relationship Id="rId106" Type="http://schemas.openxmlformats.org/officeDocument/2006/relationships/hyperlink" Target="https://youtu.be/ZOOPrGW48VI?si=6zBFiBq6JaeN3dWY" TargetMode="External"/><Relationship Id="rId127" Type="http://schemas.openxmlformats.org/officeDocument/2006/relationships/hyperlink" Target="https://youtu.be/sX4wTdPLeBY?si=M9d7xoW6sEj3LsyM" TargetMode="External"/><Relationship Id="rId10" Type="http://schemas.openxmlformats.org/officeDocument/2006/relationships/hyperlink" Target="https://youtu.be/fsmMRQQfZvw?si=9niyIWRmrCxEkPtM" TargetMode="External"/><Relationship Id="rId31" Type="http://schemas.openxmlformats.org/officeDocument/2006/relationships/hyperlink" Target="https://youtu.be/WnkxpguT-7s?si=yct5rUJGGgNtKaeM" TargetMode="External"/><Relationship Id="rId52" Type="http://schemas.openxmlformats.org/officeDocument/2006/relationships/hyperlink" Target="https://youtu.be/dcsA1v5ggEY?si=BzbFW0KZOspV6jgX" TargetMode="External"/><Relationship Id="rId73" Type="http://schemas.openxmlformats.org/officeDocument/2006/relationships/hyperlink" Target="https://www.youtube.com/watch?v=-6PjMKyOQJ8" TargetMode="External"/><Relationship Id="rId78" Type="http://schemas.openxmlformats.org/officeDocument/2006/relationships/hyperlink" Target="https://www.youtube.com/watch?v=MdOwbE8M5WQ" TargetMode="External"/><Relationship Id="rId94" Type="http://schemas.openxmlformats.org/officeDocument/2006/relationships/hyperlink" Target="https://youtu.be/7mjNTs2ut7g?si=VOaFjQcr65hvr3EN" TargetMode="External"/><Relationship Id="rId99" Type="http://schemas.openxmlformats.org/officeDocument/2006/relationships/hyperlink" Target="https://youtu.be/D0i1d3n3fak?si=CXxksl1bFkVqzp8W" TargetMode="External"/><Relationship Id="rId101" Type="http://schemas.openxmlformats.org/officeDocument/2006/relationships/hyperlink" Target="https://youtu.be/bpTrSsx3eos?si=AuDBYPe2l3daK_cR" TargetMode="External"/><Relationship Id="rId122" Type="http://schemas.openxmlformats.org/officeDocument/2006/relationships/hyperlink" Target="https://youtu.be/KsRctVExOVU?si=yJWPMS1Cl8HJJyfU" TargetMode="External"/><Relationship Id="rId143" Type="http://schemas.openxmlformats.org/officeDocument/2006/relationships/hyperlink" Target="https://youtu.be/pF2XoTzZTP0?si=2PtBNF05GQCLxVjc" TargetMode="External"/><Relationship Id="rId148" Type="http://schemas.openxmlformats.org/officeDocument/2006/relationships/hyperlink" Target="https://youtu.be/Jk3acx87Cxg?si=fUgFWrogt69QZ2Ys" TargetMode="External"/><Relationship Id="rId164" Type="http://schemas.openxmlformats.org/officeDocument/2006/relationships/hyperlink" Target="https://youtu.be/f49Pu31rX_M?si=jiKRmHrwlQlAO40z" TargetMode="External"/><Relationship Id="rId169" Type="http://schemas.openxmlformats.org/officeDocument/2006/relationships/hyperlink" Target="https://youtu.be/d5HPD0NEq-c?si=AWJCDYf8PmaEkhNy" TargetMode="External"/><Relationship Id="rId185" Type="http://schemas.openxmlformats.org/officeDocument/2006/relationships/hyperlink" Target="https://youtu.be/4dsSo6IYa2w?si=85eQ0h0yAotwedrE" TargetMode="External"/><Relationship Id="rId4" Type="http://schemas.openxmlformats.org/officeDocument/2006/relationships/hyperlink" Target="https://youtu.be/M40KrcH3Pog?si=evthU--XKh4DZZGT" TargetMode="External"/><Relationship Id="rId9" Type="http://schemas.openxmlformats.org/officeDocument/2006/relationships/hyperlink" Target="https://youtu.be/UGgzCub1wA8?si=k8dXAegYqxZPVUII" TargetMode="External"/><Relationship Id="rId180" Type="http://schemas.openxmlformats.org/officeDocument/2006/relationships/hyperlink" Target="https://youtu.be/qYXvf4MS2C8?si=hNT64-TUor-s7RfR" TargetMode="External"/><Relationship Id="rId210" Type="http://schemas.openxmlformats.org/officeDocument/2006/relationships/hyperlink" Target="https://youtu.be/KtqyZ-ANMUk?si=3sr9kkLRv8w6eahh" TargetMode="External"/><Relationship Id="rId26" Type="http://schemas.openxmlformats.org/officeDocument/2006/relationships/hyperlink" Target="https://youtu.be/KmOzV0hHjuA?si=Ca0OHkiCGC70-R8y" TargetMode="External"/><Relationship Id="rId47" Type="http://schemas.openxmlformats.org/officeDocument/2006/relationships/hyperlink" Target="https://youtu.be/9Zfsfn1uOdk?si=rAslvRqjxct7SnWo" TargetMode="External"/><Relationship Id="rId68" Type="http://schemas.openxmlformats.org/officeDocument/2006/relationships/hyperlink" Target="https://youtu.be/5yZdnvWnrJI?si=70NeIo_bv6zYtf-7" TargetMode="External"/><Relationship Id="rId89" Type="http://schemas.openxmlformats.org/officeDocument/2006/relationships/hyperlink" Target="https://youtu.be/SLpdMSfGCwM?si=69uvKScR6Tf89mr9" TargetMode="External"/><Relationship Id="rId112" Type="http://schemas.openxmlformats.org/officeDocument/2006/relationships/hyperlink" Target="https://youtu.be/zlWNVgfr0BM?si=lMHCC1X1FPCegkoP" TargetMode="External"/><Relationship Id="rId133" Type="http://schemas.openxmlformats.org/officeDocument/2006/relationships/hyperlink" Target="https://youtu.be/9HZkzDzZtfA?si=L0SEJ-ru_N50lHyF" TargetMode="External"/><Relationship Id="rId154" Type="http://schemas.openxmlformats.org/officeDocument/2006/relationships/hyperlink" Target="https://youtu.be/rLGD0qvdNR4?si=jekJkTOc9d7fIoB9" TargetMode="External"/><Relationship Id="rId175" Type="http://schemas.openxmlformats.org/officeDocument/2006/relationships/hyperlink" Target="https://youtu.be/tXgVpPOo5Ks?si=jbhjEAnLoF5QUtbf" TargetMode="External"/><Relationship Id="rId196" Type="http://schemas.openxmlformats.org/officeDocument/2006/relationships/hyperlink" Target="https://youtu.be/U9LrAjgI_iM?si=t87yjMgvNPL6W_F3" TargetMode="External"/><Relationship Id="rId200" Type="http://schemas.openxmlformats.org/officeDocument/2006/relationships/hyperlink" Target="https://youtu.be/24QzMItRqo8?si=1Z6gyE6ejsLA2oJG" TargetMode="External"/><Relationship Id="rId16" Type="http://schemas.openxmlformats.org/officeDocument/2006/relationships/hyperlink" Target="https://youtu.be/UhNEtF3A-_E?si=UOf1Cyde9WtWEkIe" TargetMode="External"/><Relationship Id="rId37" Type="http://schemas.openxmlformats.org/officeDocument/2006/relationships/hyperlink" Target="https://youtu.be/7s_gNel8QpI?si=O5Qh1Ruz80X1yUXe" TargetMode="External"/><Relationship Id="rId58" Type="http://schemas.openxmlformats.org/officeDocument/2006/relationships/hyperlink" Target="https://youtu.be/2uf575wy2ko?si=Q8HbXQDNXv_UnGF0" TargetMode="External"/><Relationship Id="rId79" Type="http://schemas.openxmlformats.org/officeDocument/2006/relationships/hyperlink" Target="https://youtu.be/5HY0dGVepmA?si=cDkKxLCTiNbcfXuG" TargetMode="External"/><Relationship Id="rId102" Type="http://schemas.openxmlformats.org/officeDocument/2006/relationships/hyperlink" Target="https://youtu.be/H6h9LNbveEw?si=zK90Ab9m_qk1mzzT" TargetMode="External"/><Relationship Id="rId123" Type="http://schemas.openxmlformats.org/officeDocument/2006/relationships/hyperlink" Target="https://youtu.be/dAsEEM7iveY?si=lxBNpMN3JrSlsvb1" TargetMode="External"/><Relationship Id="rId144" Type="http://schemas.openxmlformats.org/officeDocument/2006/relationships/hyperlink" Target="https://youtu.be/S_xOsmc1Psw?si=7SqCR6rkjStxYwF3" TargetMode="External"/><Relationship Id="rId90" Type="http://schemas.openxmlformats.org/officeDocument/2006/relationships/hyperlink" Target="https://youtu.be/LtLG5AccD5Y?si=o2A2xOBHXXrJzIJS" TargetMode="External"/><Relationship Id="rId165" Type="http://schemas.openxmlformats.org/officeDocument/2006/relationships/hyperlink" Target="https://youtu.be/ODsxTiX9iCw?si=Z0iHHC_9zX1RIvIv" TargetMode="External"/><Relationship Id="rId186" Type="http://schemas.openxmlformats.org/officeDocument/2006/relationships/hyperlink" Target="https://youtu.be/puSludRuaVg?si=8MqgxR2numxWwDvq" TargetMode="External"/><Relationship Id="rId211" Type="http://schemas.openxmlformats.org/officeDocument/2006/relationships/hyperlink" Target="https://youtu.be/yO-qpIO6rQU?si=8IyB4HFq1q0MIdSf" TargetMode="External"/><Relationship Id="rId27" Type="http://schemas.openxmlformats.org/officeDocument/2006/relationships/hyperlink" Target="https://youtu.be/ne_p7RD_dAA?si=1hqntxR6I-BJSqTm" TargetMode="External"/><Relationship Id="rId48" Type="http://schemas.openxmlformats.org/officeDocument/2006/relationships/hyperlink" Target="https://youtu.be/4gg1qa9tzfU?si=7zD3AoC7R9fVItdf" TargetMode="External"/><Relationship Id="rId69" Type="http://schemas.openxmlformats.org/officeDocument/2006/relationships/hyperlink" Target="https://youtu.be/Igjv4Kj2_zo?si=EZSZ-W4oUbf6HyHC" TargetMode="External"/><Relationship Id="rId113" Type="http://schemas.openxmlformats.org/officeDocument/2006/relationships/hyperlink" Target="https://youtu.be/cwejv5xQriM?si=SuEdc3HqNNLrOt5A" TargetMode="External"/><Relationship Id="rId134" Type="http://schemas.openxmlformats.org/officeDocument/2006/relationships/hyperlink" Target="https://youtu.be/w_Z1dwqbI1k?si=gxtm2r_jU0NWdd2-" TargetMode="External"/><Relationship Id="rId80" Type="http://schemas.openxmlformats.org/officeDocument/2006/relationships/hyperlink" Target="https://youtu.be/GPJqkGp1Xig?si=ljFpqpo-o3L79gtr" TargetMode="External"/><Relationship Id="rId155" Type="http://schemas.openxmlformats.org/officeDocument/2006/relationships/hyperlink" Target="https://youtu.be/IxhnApAFQ-0?si=anSUP52STn8lR642" TargetMode="External"/><Relationship Id="rId176" Type="http://schemas.openxmlformats.org/officeDocument/2006/relationships/hyperlink" Target="https://youtu.be/eOpC0HLx8Y0?si=xfi3Z9em2CcxxyPQ" TargetMode="External"/><Relationship Id="rId197" Type="http://schemas.openxmlformats.org/officeDocument/2006/relationships/hyperlink" Target="https://youtu.be/z9uOIMFZUsc?si=P8rgsXXgUzVvfW1r" TargetMode="External"/><Relationship Id="rId201" Type="http://schemas.openxmlformats.org/officeDocument/2006/relationships/hyperlink" Target="https://youtu.be/6Xtn9stWIvs?si=gW7xKrI38lUgBbXs" TargetMode="External"/><Relationship Id="rId17" Type="http://schemas.openxmlformats.org/officeDocument/2006/relationships/hyperlink" Target="https://youtu.be/NZ7R5vnX1Tg?si=B6WOoEdW4-tLQIFI" TargetMode="External"/><Relationship Id="rId38" Type="http://schemas.openxmlformats.org/officeDocument/2006/relationships/hyperlink" Target="https://youtu.be/9cgN_9Rl9AU?si=Gnk0SpXsu-wPEyn1" TargetMode="External"/><Relationship Id="rId59" Type="http://schemas.openxmlformats.org/officeDocument/2006/relationships/hyperlink" Target="https://youtu.be/DJHqkjq_Ow8?si=n8UCfFhiz239-0Gw" TargetMode="External"/><Relationship Id="rId103" Type="http://schemas.openxmlformats.org/officeDocument/2006/relationships/hyperlink" Target="https://youtu.be/O96bs8FUufQ?si=XNkCHD7wt1IjSC8B" TargetMode="External"/><Relationship Id="rId124" Type="http://schemas.openxmlformats.org/officeDocument/2006/relationships/hyperlink" Target="https://youtu.be/2MkQyfBp4Xc?si=-rgxIPTIMfON5Fuc" TargetMode="External"/><Relationship Id="rId70" Type="http://schemas.openxmlformats.org/officeDocument/2006/relationships/hyperlink" Target="https://www.youtube.com/watch?v=vMVQod5iEFg" TargetMode="External"/><Relationship Id="rId91" Type="http://schemas.openxmlformats.org/officeDocument/2006/relationships/hyperlink" Target="https://youtu.be/vIxB4RwZMvk?si=KHGSrD54aCOoIDHQ" TargetMode="External"/><Relationship Id="rId145" Type="http://schemas.openxmlformats.org/officeDocument/2006/relationships/hyperlink" Target="https://youtu.be/yJrPNH_-Bik?si=F397tkoLnQPBfIHt" TargetMode="External"/><Relationship Id="rId166" Type="http://schemas.openxmlformats.org/officeDocument/2006/relationships/hyperlink" Target="https://youtu.be/ohRzKCuaF2U?si=r89XGronXQJBQvPI" TargetMode="External"/><Relationship Id="rId187" Type="http://schemas.openxmlformats.org/officeDocument/2006/relationships/hyperlink" Target="https://youtu.be/bvsD4agXVVM?si=SD0tbaBIQsjbiMX7" TargetMode="External"/><Relationship Id="rId1" Type="http://schemas.openxmlformats.org/officeDocument/2006/relationships/hyperlink" Target="https://youtu.be/8u3ZZZsohvA?si=fCnU93IN0EXNgfd-" TargetMode="External"/><Relationship Id="rId212" Type="http://schemas.openxmlformats.org/officeDocument/2006/relationships/hyperlink" Target="https://youtu.be/KBrLO601OVU?si=RgbwAq_aEw5x20MX" TargetMode="External"/><Relationship Id="rId28" Type="http://schemas.openxmlformats.org/officeDocument/2006/relationships/hyperlink" Target="https://youtu.be/TQzYJUSER2w?si=rPr-P9ODeI50EoTG" TargetMode="External"/><Relationship Id="rId49" Type="http://schemas.openxmlformats.org/officeDocument/2006/relationships/hyperlink" Target="https://youtu.be/2I9gd4-symA?si=c6RfFnQO4GFDoCCK" TargetMode="External"/><Relationship Id="rId114" Type="http://schemas.openxmlformats.org/officeDocument/2006/relationships/hyperlink" Target="https://youtu.be/gjAspI-ZTi0?si=yIosLGFCxF_ORfDr" TargetMode="External"/><Relationship Id="rId60" Type="http://schemas.openxmlformats.org/officeDocument/2006/relationships/hyperlink" Target="https://youtu.be/viJoYmUCRwM?si=TkN3OcOx5G-INV2P" TargetMode="External"/><Relationship Id="rId81" Type="http://schemas.openxmlformats.org/officeDocument/2006/relationships/hyperlink" Target="https://youtu.be/ayzMbM2c0yQ?si=lvIiKkM4z668G2rN" TargetMode="External"/><Relationship Id="rId135" Type="http://schemas.openxmlformats.org/officeDocument/2006/relationships/hyperlink" Target="https://youtu.be/zFNIeZ9pEso?si=pSCIHz-oV5AJBVaT" TargetMode="External"/><Relationship Id="rId156" Type="http://schemas.openxmlformats.org/officeDocument/2006/relationships/hyperlink" Target="https://youtu.be/FuI0KSuQ8iM?si=C19pTuOldxxVOm9u" TargetMode="External"/><Relationship Id="rId177" Type="http://schemas.openxmlformats.org/officeDocument/2006/relationships/hyperlink" Target="https://youtu.be/NGhGueM5KWU?si=F5U6JyhUIX1JOI74" TargetMode="External"/><Relationship Id="rId198" Type="http://schemas.openxmlformats.org/officeDocument/2006/relationships/hyperlink" Target="https://youtu.be/EuzOH3IDLrY?si=9iq9iBCRXc4X8VgR" TargetMode="External"/><Relationship Id="rId202" Type="http://schemas.openxmlformats.org/officeDocument/2006/relationships/hyperlink" Target="https://youtu.be/IyeU5GB5pEE?si=RTkSnGBMBb6ZcsXC" TargetMode="External"/><Relationship Id="rId18" Type="http://schemas.openxmlformats.org/officeDocument/2006/relationships/hyperlink" Target="https://youtu.be/NTh_4bwyrHA?si=JEVGut4L85nuZqVd" TargetMode="External"/><Relationship Id="rId39" Type="http://schemas.openxmlformats.org/officeDocument/2006/relationships/hyperlink" Target="https://youtu.be/aXGK0jmE59U?si=uoRR_xQb5BuhH7RP" TargetMode="External"/><Relationship Id="rId50" Type="http://schemas.openxmlformats.org/officeDocument/2006/relationships/hyperlink" Target="https://youtu.be/UlV-mZaVcQk?si=5dEpaAlNy1u8qVO8" TargetMode="External"/><Relationship Id="rId104" Type="http://schemas.openxmlformats.org/officeDocument/2006/relationships/hyperlink" Target="https://youtu.be/pg0_QQF8fs0?si=z-E2WUl7oDIgEHPc" TargetMode="External"/><Relationship Id="rId125" Type="http://schemas.openxmlformats.org/officeDocument/2006/relationships/hyperlink" Target="https://youtu.be/o7P1W1pEyPo?si=GtrmL-6rVY3EFgpX" TargetMode="External"/><Relationship Id="rId146" Type="http://schemas.openxmlformats.org/officeDocument/2006/relationships/hyperlink" Target="https://youtu.be/esTkD7zVL_U?si=W19XfePdmFeB7_yq" TargetMode="External"/><Relationship Id="rId167" Type="http://schemas.openxmlformats.org/officeDocument/2006/relationships/hyperlink" Target="https://youtu.be/XIeeyJHPKM8?si=sMQ0CyFGOfhFXtbW" TargetMode="External"/><Relationship Id="rId188" Type="http://schemas.openxmlformats.org/officeDocument/2006/relationships/hyperlink" Target="https://youtu.be/t23V6Dd3TTI?si=YZw5gNgjAxvtINkr" TargetMode="External"/><Relationship Id="rId71" Type="http://schemas.openxmlformats.org/officeDocument/2006/relationships/hyperlink" Target="https://www.youtube.com/watch?v=oa6bpZZg40U" TargetMode="External"/><Relationship Id="rId92" Type="http://schemas.openxmlformats.org/officeDocument/2006/relationships/hyperlink" Target="https://youtu.be/D6KObIYuens?si=x1Wa7QxodjG4CQP6" TargetMode="External"/><Relationship Id="rId213" Type="http://schemas.openxmlformats.org/officeDocument/2006/relationships/hyperlink" Target="https://youtu.be/-WP3xRkTuaM?si=4bOQG_Au5QQLode-" TargetMode="External"/><Relationship Id="rId2" Type="http://schemas.openxmlformats.org/officeDocument/2006/relationships/hyperlink" Target="https://youtu.be/N_7nZl9pA4Q?si=BsIinYu3aU0XFnH1" TargetMode="External"/><Relationship Id="rId29" Type="http://schemas.openxmlformats.org/officeDocument/2006/relationships/hyperlink" Target="https://youtu.be/tqfMTElGtps?si=mcj6ZPAoVp8Zpi9a" TargetMode="External"/><Relationship Id="rId40" Type="http://schemas.openxmlformats.org/officeDocument/2006/relationships/hyperlink" Target="https://youtu.be/5Rf9CFnf6bQ?si=sJ-N27kKCK1gx0dH" TargetMode="External"/><Relationship Id="rId115" Type="http://schemas.openxmlformats.org/officeDocument/2006/relationships/hyperlink" Target="https://youtu.be/kr2jpmLMWrk?si=Em4AJp0G8oNr_fOz" TargetMode="External"/><Relationship Id="rId136" Type="http://schemas.openxmlformats.org/officeDocument/2006/relationships/hyperlink" Target="https://youtu.be/GpNAzJ9eg7c?si=c_F5kGEOkdjDUkqa" TargetMode="External"/><Relationship Id="rId157" Type="http://schemas.openxmlformats.org/officeDocument/2006/relationships/hyperlink" Target="https://youtu.be/byXszTtFDs0?si=wqtlP9Nctu_yXieL" TargetMode="External"/><Relationship Id="rId178" Type="http://schemas.openxmlformats.org/officeDocument/2006/relationships/hyperlink" Target="https://youtu.be/ifgdLPspQFE?si=gwzP--FdgWJagdI4" TargetMode="External"/><Relationship Id="rId61" Type="http://schemas.openxmlformats.org/officeDocument/2006/relationships/hyperlink" Target="https://youtu.be/4h0RUnDPlu8?si=AK2RmbwIzprL1K9o" TargetMode="External"/><Relationship Id="rId82" Type="http://schemas.openxmlformats.org/officeDocument/2006/relationships/hyperlink" Target="https://youtu.be/ppb2AucZNU8?si=ojncTOlYoMfToFDl" TargetMode="External"/><Relationship Id="rId199" Type="http://schemas.openxmlformats.org/officeDocument/2006/relationships/hyperlink" Target="https://youtu.be/FCkCL_QqOkM?si=sAzqCJEJhnchFmNN" TargetMode="External"/><Relationship Id="rId203" Type="http://schemas.openxmlformats.org/officeDocument/2006/relationships/hyperlink" Target="https://youtu.be/iTLUn6xKB7U?si=eDN9z4QG7JGWwO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9107-BE5E-4078-81F2-6E53CB64FA87}">
  <dimension ref="A1:R214"/>
  <sheetViews>
    <sheetView tabSelected="1" zoomScale="69" zoomScaleNormal="100" workbookViewId="0">
      <selection activeCell="R1" sqref="R1:R1048576"/>
    </sheetView>
  </sheetViews>
  <sheetFormatPr defaultRowHeight="14.4" x14ac:dyDescent="0.3"/>
  <cols>
    <col min="1" max="1" width="22.6640625" style="2" customWidth="1"/>
    <col min="2" max="2" width="13.6640625" style="8" customWidth="1"/>
    <col min="3" max="3" width="18.77734375" style="2" customWidth="1"/>
    <col min="4" max="4" width="22.6640625" style="2" customWidth="1"/>
    <col min="5" max="5" width="15.21875" style="2" customWidth="1"/>
    <col min="6" max="6" width="21.6640625" style="2" customWidth="1"/>
    <col min="7" max="7" width="25.33203125" style="2" customWidth="1"/>
    <col min="8" max="8" width="16.77734375" style="5" customWidth="1"/>
    <col min="9" max="9" width="8.6640625" customWidth="1"/>
    <col min="10" max="10" width="15.88671875" customWidth="1"/>
    <col min="11" max="11" width="13.44140625" customWidth="1"/>
    <col min="12" max="12" width="14.77734375" customWidth="1"/>
    <col min="14" max="14" width="12.44140625" customWidth="1"/>
  </cols>
  <sheetData>
    <row r="1" spans="1:18" x14ac:dyDescent="0.3">
      <c r="A1" s="6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9</v>
      </c>
      <c r="G1" s="3" t="s">
        <v>8</v>
      </c>
      <c r="H1" s="6" t="s">
        <v>5</v>
      </c>
      <c r="I1" s="1" t="s">
        <v>6</v>
      </c>
      <c r="J1" s="1" t="s">
        <v>7</v>
      </c>
      <c r="K1" s="1" t="s">
        <v>12</v>
      </c>
      <c r="L1" s="1" t="s">
        <v>398</v>
      </c>
      <c r="M1" s="1" t="s">
        <v>399</v>
      </c>
      <c r="N1" s="1" t="s">
        <v>400</v>
      </c>
      <c r="Q1">
        <f>SUM(K:K)</f>
        <v>22438.576666666657</v>
      </c>
      <c r="R1" t="str" cm="1">
        <f t="array" ref="R1:R20">_xlfn.UNIQUE(J:J)</f>
        <v>Playlist</v>
      </c>
    </row>
    <row r="2" spans="1:18" x14ac:dyDescent="0.3">
      <c r="A2" s="4" t="s">
        <v>14</v>
      </c>
      <c r="B2" s="8">
        <v>0.17989583333333334</v>
      </c>
      <c r="C2" s="2">
        <v>41355</v>
      </c>
      <c r="D2" s="2">
        <v>11214</v>
      </c>
      <c r="E2" s="2">
        <v>119</v>
      </c>
      <c r="F2" s="2">
        <v>4223</v>
      </c>
      <c r="G2" s="2">
        <v>595</v>
      </c>
      <c r="H2" s="5">
        <f>(D2/C2)</f>
        <v>0.27116430903155603</v>
      </c>
      <c r="I2" t="s">
        <v>15</v>
      </c>
      <c r="J2" t="s">
        <v>16</v>
      </c>
      <c r="K2">
        <v>259.05</v>
      </c>
      <c r="L2">
        <f>K2/E2</f>
        <v>2.1768907563025213</v>
      </c>
      <c r="M2">
        <f>AVERAGE(L2:L214)</f>
        <v>2.2085567705397717</v>
      </c>
      <c r="N2" t="s">
        <v>403</v>
      </c>
      <c r="R2" t="str">
        <v>udvash-unmesh shikkha poribar</v>
      </c>
    </row>
    <row r="3" spans="1:18" x14ac:dyDescent="0.3">
      <c r="A3" s="4" t="s">
        <v>17</v>
      </c>
      <c r="B3" s="8">
        <v>0.17846064814814816</v>
      </c>
      <c r="C3" s="2">
        <v>40656</v>
      </c>
      <c r="D3" s="2">
        <v>11261</v>
      </c>
      <c r="E3" s="2">
        <v>120</v>
      </c>
      <c r="F3" s="2">
        <v>4286</v>
      </c>
      <c r="G3" s="2">
        <v>570</v>
      </c>
      <c r="H3" s="5">
        <f t="shared" ref="H3:H60" si="0">(D3/C3)</f>
        <v>0.27698248720975993</v>
      </c>
      <c r="I3" t="s">
        <v>15</v>
      </c>
      <c r="J3" t="s">
        <v>16</v>
      </c>
      <c r="K3">
        <v>256.98333333333329</v>
      </c>
      <c r="L3">
        <f t="shared" ref="L3:L66" si="1">K3/E3</f>
        <v>2.1415277777777773</v>
      </c>
      <c r="N3" t="s">
        <v>403</v>
      </c>
      <c r="R3" t="str">
        <v>Lecturelia</v>
      </c>
    </row>
    <row r="4" spans="1:18" x14ac:dyDescent="0.3">
      <c r="A4" s="4" t="s">
        <v>18</v>
      </c>
      <c r="B4" s="8">
        <v>0.2104513888888889</v>
      </c>
      <c r="C4" s="2">
        <v>41988</v>
      </c>
      <c r="D4" s="2">
        <v>11349</v>
      </c>
      <c r="E4" s="2">
        <v>124</v>
      </c>
      <c r="F4" s="2">
        <v>4642</v>
      </c>
      <c r="G4" s="2">
        <v>600</v>
      </c>
      <c r="H4" s="5">
        <f t="shared" si="0"/>
        <v>0.27029151186053157</v>
      </c>
      <c r="I4" t="s">
        <v>15</v>
      </c>
      <c r="J4" t="s">
        <v>16</v>
      </c>
      <c r="K4">
        <v>303.05</v>
      </c>
      <c r="L4">
        <f t="shared" si="1"/>
        <v>2.4439516129032257</v>
      </c>
      <c r="N4" t="s">
        <v>401</v>
      </c>
      <c r="R4" t="str">
        <v>PHYSICS Vaiya</v>
      </c>
    </row>
    <row r="5" spans="1:18" x14ac:dyDescent="0.3">
      <c r="A5" s="4" t="s">
        <v>19</v>
      </c>
      <c r="B5" s="8">
        <v>0.15285879629629628</v>
      </c>
      <c r="C5" s="2">
        <v>26884</v>
      </c>
      <c r="D5" s="2">
        <v>7323</v>
      </c>
      <c r="E5" s="2">
        <v>79</v>
      </c>
      <c r="F5" s="2">
        <v>2971</v>
      </c>
      <c r="G5" s="2">
        <v>408</v>
      </c>
      <c r="H5" s="5">
        <f t="shared" si="0"/>
        <v>0.27239250111590535</v>
      </c>
      <c r="I5" t="s">
        <v>11</v>
      </c>
      <c r="J5" t="s">
        <v>16</v>
      </c>
      <c r="K5">
        <v>220.1166666666667</v>
      </c>
      <c r="L5">
        <f t="shared" si="1"/>
        <v>2.7862869198312241</v>
      </c>
      <c r="N5" t="s">
        <v>402</v>
      </c>
      <c r="R5" t="str">
        <v>Udvash SSC 2025</v>
      </c>
    </row>
    <row r="6" spans="1:18" x14ac:dyDescent="0.3">
      <c r="A6" s="4" t="s">
        <v>20</v>
      </c>
      <c r="B6" s="8">
        <v>0.17637731481481481</v>
      </c>
      <c r="C6" s="2">
        <v>35749</v>
      </c>
      <c r="D6" s="2">
        <v>8405</v>
      </c>
      <c r="E6" s="2">
        <v>101</v>
      </c>
      <c r="F6" s="2">
        <v>3916</v>
      </c>
      <c r="G6" s="2">
        <v>469</v>
      </c>
      <c r="H6" s="5">
        <f t="shared" si="0"/>
        <v>0.23511147164955662</v>
      </c>
      <c r="I6" t="s">
        <v>15</v>
      </c>
      <c r="J6" t="s">
        <v>16</v>
      </c>
      <c r="K6">
        <v>253.98333333333329</v>
      </c>
      <c r="L6">
        <f t="shared" si="1"/>
        <v>2.5146864686468642</v>
      </c>
      <c r="N6" t="s">
        <v>404</v>
      </c>
      <c r="R6" t="str">
        <v>Udvash HSC 2026</v>
      </c>
    </row>
    <row r="7" spans="1:18" x14ac:dyDescent="0.3">
      <c r="A7" s="4" t="s">
        <v>21</v>
      </c>
      <c r="B7" s="8">
        <v>0.17353009259259258</v>
      </c>
      <c r="C7" s="2">
        <v>42927</v>
      </c>
      <c r="D7" s="2">
        <v>11308</v>
      </c>
      <c r="E7" s="2">
        <v>126</v>
      </c>
      <c r="F7" s="2">
        <v>5340</v>
      </c>
      <c r="G7" s="2">
        <v>569</v>
      </c>
      <c r="H7" s="5">
        <f t="shared" si="0"/>
        <v>0.26342395229109883</v>
      </c>
      <c r="I7" t="s">
        <v>15</v>
      </c>
      <c r="J7" t="s">
        <v>16</v>
      </c>
      <c r="K7">
        <v>249.8833333333333</v>
      </c>
      <c r="L7">
        <f t="shared" si="1"/>
        <v>1.983201058201058</v>
      </c>
      <c r="N7" t="s">
        <v>405</v>
      </c>
      <c r="R7" t="str">
        <v>Nahid24</v>
      </c>
    </row>
    <row r="8" spans="1:18" x14ac:dyDescent="0.3">
      <c r="A8" s="4" t="s">
        <v>22</v>
      </c>
      <c r="B8" s="8">
        <v>0.17234953703703704</v>
      </c>
      <c r="C8" s="2">
        <v>41086</v>
      </c>
      <c r="D8" s="2">
        <v>11439</v>
      </c>
      <c r="E8" s="2">
        <v>124</v>
      </c>
      <c r="F8" s="2">
        <v>4995</v>
      </c>
      <c r="G8" s="2">
        <v>633</v>
      </c>
      <c r="H8" s="5">
        <f t="shared" si="0"/>
        <v>0.27841600545197875</v>
      </c>
      <c r="I8" t="s">
        <v>23</v>
      </c>
      <c r="J8" t="s">
        <v>16</v>
      </c>
      <c r="K8">
        <v>248.18333333333331</v>
      </c>
      <c r="L8">
        <f t="shared" si="1"/>
        <v>2.0014784946236559</v>
      </c>
      <c r="N8" t="s">
        <v>406</v>
      </c>
      <c r="R8" t="str">
        <v>Udvash 1 shot MCQ</v>
      </c>
    </row>
    <row r="9" spans="1:18" x14ac:dyDescent="0.3">
      <c r="A9" s="4" t="s">
        <v>24</v>
      </c>
      <c r="B9" s="8">
        <v>0.17063657407407407</v>
      </c>
      <c r="C9" s="2">
        <v>33724</v>
      </c>
      <c r="D9" s="2">
        <v>8827</v>
      </c>
      <c r="E9" s="2">
        <v>98</v>
      </c>
      <c r="F9" s="2">
        <v>3327</v>
      </c>
      <c r="G9" s="2">
        <v>481</v>
      </c>
      <c r="H9" s="5">
        <f t="shared" si="0"/>
        <v>0.26174237931443484</v>
      </c>
      <c r="I9" t="s">
        <v>11</v>
      </c>
      <c r="J9" t="s">
        <v>16</v>
      </c>
      <c r="K9">
        <v>245.7166666666667</v>
      </c>
      <c r="L9">
        <f t="shared" si="1"/>
        <v>2.5073129251700683</v>
      </c>
      <c r="N9" t="s">
        <v>407</v>
      </c>
      <c r="R9" t="str">
        <v>Nahid's ICT and Math Carnival</v>
      </c>
    </row>
    <row r="10" spans="1:18" x14ac:dyDescent="0.3">
      <c r="A10" s="4" t="s">
        <v>25</v>
      </c>
      <c r="B10" s="8">
        <v>9.5335648148148142E-2</v>
      </c>
      <c r="C10" s="2">
        <v>16001</v>
      </c>
      <c r="D10" s="2">
        <v>4906</v>
      </c>
      <c r="E10" s="2">
        <v>51</v>
      </c>
      <c r="F10" s="2">
        <v>1900</v>
      </c>
      <c r="G10" s="2">
        <v>295</v>
      </c>
      <c r="H10" s="5">
        <f t="shared" si="0"/>
        <v>0.30660583713517903</v>
      </c>
      <c r="I10" t="s">
        <v>23</v>
      </c>
      <c r="J10" t="s">
        <v>16</v>
      </c>
      <c r="K10">
        <v>137.2833333333333</v>
      </c>
      <c r="L10">
        <f t="shared" si="1"/>
        <v>2.6918300653594764</v>
      </c>
      <c r="N10" s="11" t="s">
        <v>408</v>
      </c>
      <c r="R10" t="str">
        <v>Udvash class 10</v>
      </c>
    </row>
    <row r="11" spans="1:18" x14ac:dyDescent="0.3">
      <c r="A11" s="4" t="s">
        <v>26</v>
      </c>
      <c r="B11" s="8">
        <v>0.1373263888888889</v>
      </c>
      <c r="C11" s="2">
        <v>27171</v>
      </c>
      <c r="D11" s="2">
        <v>7172</v>
      </c>
      <c r="E11" s="2">
        <v>81</v>
      </c>
      <c r="F11" s="2">
        <v>2997</v>
      </c>
      <c r="G11" s="2">
        <v>381</v>
      </c>
      <c r="H11" s="5">
        <f t="shared" si="0"/>
        <v>0.26395789628648192</v>
      </c>
      <c r="I11" t="s">
        <v>15</v>
      </c>
      <c r="J11" t="s">
        <v>16</v>
      </c>
      <c r="K11">
        <v>197.75</v>
      </c>
      <c r="L11">
        <f t="shared" si="1"/>
        <v>2.441358024691358</v>
      </c>
      <c r="N11" t="s">
        <v>409</v>
      </c>
      <c r="R11" t="str">
        <v>Lecturelia greedy algo</v>
      </c>
    </row>
    <row r="12" spans="1:18" x14ac:dyDescent="0.3">
      <c r="A12" s="4" t="s">
        <v>27</v>
      </c>
      <c r="B12" s="8">
        <v>0.18759259259259259</v>
      </c>
      <c r="C12" s="2">
        <v>37052</v>
      </c>
      <c r="D12" s="2">
        <v>9688</v>
      </c>
      <c r="E12" s="2">
        <v>104</v>
      </c>
      <c r="F12" s="2">
        <v>4180</v>
      </c>
      <c r="G12" s="2">
        <v>487</v>
      </c>
      <c r="H12" s="5">
        <f t="shared" si="0"/>
        <v>0.26147036597214723</v>
      </c>
      <c r="I12" t="s">
        <v>15</v>
      </c>
      <c r="J12" t="s">
        <v>16</v>
      </c>
      <c r="K12">
        <v>270.13333333333333</v>
      </c>
      <c r="L12">
        <f t="shared" si="1"/>
        <v>2.5974358974358975</v>
      </c>
      <c r="N12" s="11" t="s">
        <v>435</v>
      </c>
      <c r="R12" t="str">
        <v>OnnoRokom Pathshala Gunogoto Roshayon</v>
      </c>
    </row>
    <row r="13" spans="1:18" x14ac:dyDescent="0.3">
      <c r="A13" s="4" t="s">
        <v>28</v>
      </c>
      <c r="B13" s="8">
        <v>0.24312500000000001</v>
      </c>
      <c r="C13" s="2">
        <v>60649</v>
      </c>
      <c r="D13" s="2">
        <v>15305</v>
      </c>
      <c r="E13" s="2">
        <v>192</v>
      </c>
      <c r="F13" s="2">
        <v>7235</v>
      </c>
      <c r="G13" s="2">
        <v>858</v>
      </c>
      <c r="H13" s="5">
        <f t="shared" si="0"/>
        <v>0.25235370739830831</v>
      </c>
      <c r="I13" t="s">
        <v>23</v>
      </c>
      <c r="J13" t="s">
        <v>16</v>
      </c>
      <c r="K13">
        <v>350.1</v>
      </c>
      <c r="L13">
        <f t="shared" si="1"/>
        <v>1.8234375</v>
      </c>
      <c r="N13" t="s">
        <v>410</v>
      </c>
      <c r="R13" t="str">
        <v>OnnoRokom Pathshala HSC ICT  shongkha poddhoti o digital device</v>
      </c>
    </row>
    <row r="14" spans="1:18" x14ac:dyDescent="0.3">
      <c r="A14" s="4" t="s">
        <v>29</v>
      </c>
      <c r="B14" s="8">
        <v>0.12030092592592592</v>
      </c>
      <c r="C14" s="2">
        <v>21439</v>
      </c>
      <c r="D14" s="2">
        <v>5634</v>
      </c>
      <c r="E14" s="2">
        <v>64</v>
      </c>
      <c r="F14" s="2">
        <v>2101</v>
      </c>
      <c r="G14" s="2">
        <v>296</v>
      </c>
      <c r="H14" s="5">
        <f t="shared" si="0"/>
        <v>0.26279210784085077</v>
      </c>
      <c r="I14" t="s">
        <v>11</v>
      </c>
      <c r="J14" t="s">
        <v>16</v>
      </c>
      <c r="K14">
        <v>173.23333333333329</v>
      </c>
      <c r="L14">
        <f t="shared" si="1"/>
        <v>2.7067708333333327</v>
      </c>
      <c r="N14" s="11" t="s">
        <v>411</v>
      </c>
      <c r="R14" t="str">
        <v>OnnoRokom Pathshala HSC Kaj Khomota Shokti</v>
      </c>
    </row>
    <row r="15" spans="1:18" x14ac:dyDescent="0.3">
      <c r="A15" s="4" t="s">
        <v>30</v>
      </c>
      <c r="B15" s="8">
        <v>0.16988425925925926</v>
      </c>
      <c r="C15" s="2">
        <v>37531</v>
      </c>
      <c r="D15" s="2">
        <v>9741</v>
      </c>
      <c r="E15" s="2">
        <v>115</v>
      </c>
      <c r="F15" s="2">
        <v>3930</v>
      </c>
      <c r="G15" s="2">
        <v>525</v>
      </c>
      <c r="H15" s="5">
        <f t="shared" si="0"/>
        <v>0.25954544243425437</v>
      </c>
      <c r="I15" t="s">
        <v>23</v>
      </c>
      <c r="J15" t="s">
        <v>16</v>
      </c>
      <c r="K15">
        <v>244.6333333333333</v>
      </c>
      <c r="L15">
        <f t="shared" si="1"/>
        <v>2.1272463768115939</v>
      </c>
      <c r="N15" t="s">
        <v>412</v>
      </c>
      <c r="R15" t="str">
        <v>OnnoRokom Pathshala HSC Tapgotibidda</v>
      </c>
    </row>
    <row r="16" spans="1:18" x14ac:dyDescent="0.3">
      <c r="A16" s="4" t="s">
        <v>31</v>
      </c>
      <c r="B16" s="8">
        <v>0.18569444444444444</v>
      </c>
      <c r="C16" s="2">
        <v>38563</v>
      </c>
      <c r="D16" s="2">
        <v>9256</v>
      </c>
      <c r="E16" s="2">
        <v>110</v>
      </c>
      <c r="F16" s="2">
        <v>4430</v>
      </c>
      <c r="G16" s="2">
        <v>473</v>
      </c>
      <c r="H16" s="5">
        <f t="shared" si="0"/>
        <v>0.240022819801364</v>
      </c>
      <c r="I16" t="s">
        <v>15</v>
      </c>
      <c r="J16" t="s">
        <v>16</v>
      </c>
      <c r="K16">
        <v>267.39999999999998</v>
      </c>
      <c r="L16">
        <f t="shared" si="1"/>
        <v>2.4309090909090907</v>
      </c>
      <c r="N16" t="s">
        <v>413</v>
      </c>
      <c r="R16" t="str">
        <v>OnnoRokom Pathshala Mouler Porjaybritto dhormo</v>
      </c>
    </row>
    <row r="17" spans="1:18" x14ac:dyDescent="0.3">
      <c r="A17" s="4" t="s">
        <v>32</v>
      </c>
      <c r="B17" s="8">
        <v>0.21762731481481482</v>
      </c>
      <c r="C17" s="2">
        <v>36165</v>
      </c>
      <c r="D17" s="2">
        <v>9655</v>
      </c>
      <c r="E17" s="2">
        <v>113</v>
      </c>
      <c r="F17" s="2">
        <v>3702</v>
      </c>
      <c r="G17" s="2">
        <v>552</v>
      </c>
      <c r="H17" s="5">
        <f t="shared" si="0"/>
        <v>0.26697082814876261</v>
      </c>
      <c r="I17" t="s">
        <v>11</v>
      </c>
      <c r="J17" t="s">
        <v>16</v>
      </c>
      <c r="K17">
        <v>313.38333333333333</v>
      </c>
      <c r="L17">
        <f t="shared" si="1"/>
        <v>2.7733038348082597</v>
      </c>
      <c r="N17" t="s">
        <v>414</v>
      </c>
      <c r="R17" t="str">
        <v>OnnoRokom Pathshala Vector</v>
      </c>
    </row>
    <row r="18" spans="1:18" x14ac:dyDescent="0.3">
      <c r="A18" s="4" t="s">
        <v>33</v>
      </c>
      <c r="B18" s="8">
        <v>6.5185185185185179E-2</v>
      </c>
      <c r="C18" s="2">
        <v>13417</v>
      </c>
      <c r="D18" s="2">
        <v>3709</v>
      </c>
      <c r="E18" s="2">
        <v>41</v>
      </c>
      <c r="F18" s="2">
        <v>1428</v>
      </c>
      <c r="G18" s="2">
        <v>187</v>
      </c>
      <c r="H18" s="5">
        <f t="shared" si="0"/>
        <v>0.27644033688604008</v>
      </c>
      <c r="I18" t="s">
        <v>34</v>
      </c>
      <c r="J18" t="s">
        <v>16</v>
      </c>
      <c r="K18">
        <v>93.86666666666666</v>
      </c>
      <c r="L18">
        <f t="shared" si="1"/>
        <v>2.2894308943089428</v>
      </c>
      <c r="N18" t="s">
        <v>415</v>
      </c>
      <c r="R18" t="str">
        <v>Fahad's tutorial</v>
      </c>
    </row>
    <row r="19" spans="1:18" x14ac:dyDescent="0.3">
      <c r="A19" s="4" t="s">
        <v>35</v>
      </c>
      <c r="B19" s="8">
        <v>0.21050925925925926</v>
      </c>
      <c r="C19" s="2">
        <v>40950</v>
      </c>
      <c r="D19" s="2">
        <v>9487</v>
      </c>
      <c r="E19" s="2">
        <v>137</v>
      </c>
      <c r="F19" s="2">
        <v>5785</v>
      </c>
      <c r="G19" s="2">
        <v>546</v>
      </c>
      <c r="H19" s="5">
        <f t="shared" si="0"/>
        <v>0.23167277167277167</v>
      </c>
      <c r="I19" t="s">
        <v>15</v>
      </c>
      <c r="J19" t="s">
        <v>16</v>
      </c>
      <c r="K19">
        <v>303.13333333333333</v>
      </c>
      <c r="L19">
        <f t="shared" si="1"/>
        <v>2.2126520681265207</v>
      </c>
      <c r="N19" t="s">
        <v>416</v>
      </c>
      <c r="R19" t="str">
        <v>Math &amp; Science Nerds</v>
      </c>
    </row>
    <row r="20" spans="1:18" x14ac:dyDescent="0.3">
      <c r="A20" s="4" t="s">
        <v>36</v>
      </c>
      <c r="B20" s="8">
        <v>0.11518518518518518</v>
      </c>
      <c r="C20" s="2">
        <v>24200</v>
      </c>
      <c r="D20" s="2">
        <v>6878</v>
      </c>
      <c r="E20" s="2">
        <v>73</v>
      </c>
      <c r="F20" s="2">
        <v>3833</v>
      </c>
      <c r="G20" s="2">
        <v>422</v>
      </c>
      <c r="H20" s="5">
        <f t="shared" si="0"/>
        <v>0.28421487603305784</v>
      </c>
      <c r="I20" t="s">
        <v>23</v>
      </c>
      <c r="J20" t="s">
        <v>16</v>
      </c>
      <c r="K20">
        <v>165.8666666666667</v>
      </c>
      <c r="L20">
        <f t="shared" si="1"/>
        <v>2.2721461187214618</v>
      </c>
      <c r="N20" t="s">
        <v>417</v>
      </c>
      <c r="R20">
        <v>0</v>
      </c>
    </row>
    <row r="21" spans="1:18" x14ac:dyDescent="0.3">
      <c r="A21" s="4" t="s">
        <v>37</v>
      </c>
      <c r="B21" s="8">
        <v>0.21385416666666668</v>
      </c>
      <c r="C21" s="2">
        <v>49122</v>
      </c>
      <c r="D21" s="2">
        <v>12862</v>
      </c>
      <c r="E21" s="2">
        <v>141</v>
      </c>
      <c r="F21" s="2">
        <v>5719</v>
      </c>
      <c r="G21" s="2">
        <v>671</v>
      </c>
      <c r="H21" s="5">
        <f t="shared" si="0"/>
        <v>0.26183787305077155</v>
      </c>
      <c r="I21" t="s">
        <v>11</v>
      </c>
      <c r="J21" t="s">
        <v>16</v>
      </c>
      <c r="K21">
        <v>307.95</v>
      </c>
      <c r="L21">
        <f t="shared" si="1"/>
        <v>2.1840425531914893</v>
      </c>
      <c r="N21" t="s">
        <v>418</v>
      </c>
    </row>
    <row r="22" spans="1:18" x14ac:dyDescent="0.3">
      <c r="A22" s="4" t="s">
        <v>38</v>
      </c>
      <c r="B22" s="8">
        <v>0.10274305555555556</v>
      </c>
      <c r="C22" s="2">
        <v>20476</v>
      </c>
      <c r="D22" s="2">
        <v>5726</v>
      </c>
      <c r="E22" s="2">
        <v>63</v>
      </c>
      <c r="F22" s="2">
        <v>2135</v>
      </c>
      <c r="G22" s="2">
        <v>310</v>
      </c>
      <c r="H22" s="5">
        <f t="shared" si="0"/>
        <v>0.27964446180894709</v>
      </c>
      <c r="I22" t="s">
        <v>11</v>
      </c>
      <c r="J22" t="s">
        <v>16</v>
      </c>
      <c r="K22">
        <v>147.94999999999999</v>
      </c>
      <c r="L22">
        <f t="shared" si="1"/>
        <v>2.3484126984126981</v>
      </c>
      <c r="N22" t="s">
        <v>419</v>
      </c>
    </row>
    <row r="23" spans="1:18" x14ac:dyDescent="0.3">
      <c r="A23" s="4" t="s">
        <v>39</v>
      </c>
      <c r="B23" s="8">
        <v>9.0358796296296298E-2</v>
      </c>
      <c r="C23" s="2">
        <v>20478</v>
      </c>
      <c r="D23" s="2">
        <v>5236</v>
      </c>
      <c r="E23" s="2">
        <v>59</v>
      </c>
      <c r="F23" s="2">
        <v>2390</v>
      </c>
      <c r="G23" s="2">
        <v>302</v>
      </c>
      <c r="H23" s="5">
        <f t="shared" si="0"/>
        <v>0.25568903213204414</v>
      </c>
      <c r="I23" t="s">
        <v>11</v>
      </c>
      <c r="J23" t="s">
        <v>16</v>
      </c>
      <c r="K23">
        <v>130.1166666666667</v>
      </c>
      <c r="L23">
        <f t="shared" si="1"/>
        <v>2.2053672316384185</v>
      </c>
      <c r="N23" s="11" t="s">
        <v>420</v>
      </c>
    </row>
    <row r="24" spans="1:18" x14ac:dyDescent="0.3">
      <c r="A24" s="4" t="s">
        <v>40</v>
      </c>
      <c r="B24" s="8">
        <v>7.0520833333333338E-2</v>
      </c>
      <c r="C24" s="2">
        <v>15759</v>
      </c>
      <c r="D24" s="2">
        <v>3824</v>
      </c>
      <c r="E24" s="2">
        <v>43</v>
      </c>
      <c r="F24" s="2">
        <v>1240</v>
      </c>
      <c r="G24" s="2">
        <v>190</v>
      </c>
      <c r="H24" s="5">
        <f t="shared" si="0"/>
        <v>0.24265499079890857</v>
      </c>
      <c r="I24" t="s">
        <v>15</v>
      </c>
      <c r="J24" t="s">
        <v>16</v>
      </c>
      <c r="K24">
        <v>101.55</v>
      </c>
      <c r="L24">
        <f t="shared" si="1"/>
        <v>2.3616279069767443</v>
      </c>
      <c r="N24" s="11" t="s">
        <v>421</v>
      </c>
    </row>
    <row r="25" spans="1:18" x14ac:dyDescent="0.3">
      <c r="A25" s="4" t="s">
        <v>41</v>
      </c>
      <c r="B25" s="8">
        <v>6.5833333333333327E-2</v>
      </c>
      <c r="C25" s="2">
        <v>14178</v>
      </c>
      <c r="D25" s="2">
        <v>4177</v>
      </c>
      <c r="E25" s="2">
        <v>42</v>
      </c>
      <c r="F25" s="2">
        <v>1772</v>
      </c>
      <c r="G25" s="2">
        <v>271</v>
      </c>
      <c r="H25" s="5">
        <f t="shared" si="0"/>
        <v>0.29461136972774721</v>
      </c>
      <c r="I25" t="s">
        <v>23</v>
      </c>
      <c r="J25" t="s">
        <v>16</v>
      </c>
      <c r="K25">
        <v>94.8</v>
      </c>
      <c r="L25">
        <f t="shared" si="1"/>
        <v>2.2571428571428571</v>
      </c>
      <c r="N25" t="s">
        <v>411</v>
      </c>
    </row>
    <row r="26" spans="1:18" x14ac:dyDescent="0.3">
      <c r="A26" s="4" t="s">
        <v>42</v>
      </c>
      <c r="B26" s="8">
        <v>6.9270833333333337E-2</v>
      </c>
      <c r="C26" s="2">
        <v>15662</v>
      </c>
      <c r="D26" s="2">
        <v>4077</v>
      </c>
      <c r="E26" s="2">
        <v>48</v>
      </c>
      <c r="F26" s="2">
        <v>2153</v>
      </c>
      <c r="G26" s="2">
        <v>229</v>
      </c>
      <c r="H26" s="5">
        <f t="shared" si="0"/>
        <v>0.26031158217341338</v>
      </c>
      <c r="I26" t="s">
        <v>11</v>
      </c>
      <c r="J26" t="s">
        <v>16</v>
      </c>
      <c r="K26">
        <v>99.75</v>
      </c>
      <c r="L26">
        <f t="shared" si="1"/>
        <v>2.078125</v>
      </c>
      <c r="N26" t="s">
        <v>422</v>
      </c>
    </row>
    <row r="27" spans="1:18" x14ac:dyDescent="0.3">
      <c r="A27" s="4" t="s">
        <v>43</v>
      </c>
      <c r="B27" s="8">
        <v>9.6817129629629628E-2</v>
      </c>
      <c r="C27" s="2">
        <v>18823</v>
      </c>
      <c r="D27" s="2">
        <v>5010</v>
      </c>
      <c r="E27" s="2">
        <v>56</v>
      </c>
      <c r="F27" s="2">
        <v>2250</v>
      </c>
      <c r="G27" s="2">
        <v>265</v>
      </c>
      <c r="H27" s="5">
        <f t="shared" si="0"/>
        <v>0.26616373585507092</v>
      </c>
      <c r="I27" t="s">
        <v>15</v>
      </c>
      <c r="J27" t="s">
        <v>16</v>
      </c>
      <c r="K27">
        <v>139.41666666666671</v>
      </c>
      <c r="L27">
        <f t="shared" si="1"/>
        <v>2.4895833333333344</v>
      </c>
      <c r="N27" t="s">
        <v>427</v>
      </c>
    </row>
    <row r="28" spans="1:18" x14ac:dyDescent="0.3">
      <c r="A28" s="4" t="s">
        <v>44</v>
      </c>
      <c r="B28" s="8">
        <v>7.4409722222222224E-2</v>
      </c>
      <c r="C28" s="2">
        <v>19230</v>
      </c>
      <c r="D28" s="2">
        <v>4794</v>
      </c>
      <c r="E28" s="2">
        <v>55</v>
      </c>
      <c r="F28" s="2">
        <v>2052</v>
      </c>
      <c r="G28" s="2">
        <v>276</v>
      </c>
      <c r="H28" s="5">
        <f t="shared" si="0"/>
        <v>0.24929797191887676</v>
      </c>
      <c r="I28" t="s">
        <v>15</v>
      </c>
      <c r="J28" t="s">
        <v>16</v>
      </c>
      <c r="K28">
        <v>107.15</v>
      </c>
      <c r="L28">
        <f t="shared" si="1"/>
        <v>1.9481818181818182</v>
      </c>
      <c r="N28" t="s">
        <v>421</v>
      </c>
    </row>
    <row r="29" spans="1:18" x14ac:dyDescent="0.3">
      <c r="A29" s="4" t="s">
        <v>45</v>
      </c>
      <c r="B29" s="8">
        <v>6.277777777777778E-2</v>
      </c>
      <c r="C29" s="2">
        <v>11798</v>
      </c>
      <c r="D29" s="2">
        <v>2688</v>
      </c>
      <c r="E29" s="2">
        <v>34</v>
      </c>
      <c r="F29" s="2">
        <v>1081</v>
      </c>
      <c r="G29" s="2">
        <v>163</v>
      </c>
      <c r="H29" s="5">
        <f t="shared" si="0"/>
        <v>0.227835226309544</v>
      </c>
      <c r="I29" t="s">
        <v>11</v>
      </c>
      <c r="J29" t="s">
        <v>16</v>
      </c>
      <c r="K29">
        <v>90.4</v>
      </c>
      <c r="L29">
        <f t="shared" si="1"/>
        <v>2.658823529411765</v>
      </c>
      <c r="N29" t="s">
        <v>423</v>
      </c>
    </row>
    <row r="30" spans="1:18" x14ac:dyDescent="0.3">
      <c r="A30" s="4" t="s">
        <v>46</v>
      </c>
      <c r="B30" s="8">
        <v>0.42773148148148149</v>
      </c>
      <c r="C30" s="2">
        <v>105556</v>
      </c>
      <c r="D30" s="2">
        <v>26831</v>
      </c>
      <c r="E30" s="2">
        <v>323</v>
      </c>
      <c r="F30" s="2">
        <v>12892</v>
      </c>
      <c r="G30" s="2">
        <v>1542</v>
      </c>
      <c r="H30" s="5">
        <f t="shared" si="0"/>
        <v>0.25418735079010196</v>
      </c>
      <c r="I30" t="s">
        <v>23</v>
      </c>
      <c r="J30" t="s">
        <v>16</v>
      </c>
      <c r="K30">
        <v>615.93333333333328</v>
      </c>
      <c r="L30">
        <f t="shared" si="1"/>
        <v>1.9069143446852423</v>
      </c>
      <c r="N30" t="s">
        <v>410</v>
      </c>
    </row>
    <row r="31" spans="1:18" x14ac:dyDescent="0.3">
      <c r="A31" s="4" t="s">
        <v>47</v>
      </c>
      <c r="B31" s="8">
        <v>0.28032407407407406</v>
      </c>
      <c r="C31" s="2">
        <v>53159</v>
      </c>
      <c r="D31" s="2">
        <v>14591</v>
      </c>
      <c r="E31" s="2">
        <v>163</v>
      </c>
      <c r="F31" s="2">
        <v>6374</v>
      </c>
      <c r="G31" s="2">
        <v>790</v>
      </c>
      <c r="H31" s="5">
        <f t="shared" si="0"/>
        <v>0.27447845143813843</v>
      </c>
      <c r="I31" t="s">
        <v>11</v>
      </c>
      <c r="J31" t="s">
        <v>16</v>
      </c>
      <c r="K31">
        <v>403.66666666666669</v>
      </c>
      <c r="L31">
        <f t="shared" si="1"/>
        <v>2.4764826175869121</v>
      </c>
      <c r="N31" t="s">
        <v>418</v>
      </c>
    </row>
    <row r="32" spans="1:18" x14ac:dyDescent="0.3">
      <c r="A32" s="4" t="s">
        <v>48</v>
      </c>
      <c r="B32" s="8">
        <v>8.2916666666666666E-2</v>
      </c>
      <c r="C32" s="2">
        <v>21445</v>
      </c>
      <c r="D32" s="2">
        <v>5619</v>
      </c>
      <c r="E32" s="2">
        <v>62</v>
      </c>
      <c r="F32" s="2">
        <v>2101</v>
      </c>
      <c r="G32" s="2">
        <v>288</v>
      </c>
      <c r="H32" s="5">
        <f t="shared" si="0"/>
        <v>0.26201911867568195</v>
      </c>
      <c r="I32" t="s">
        <v>15</v>
      </c>
      <c r="J32" t="s">
        <v>16</v>
      </c>
      <c r="K32">
        <v>119.4</v>
      </c>
      <c r="L32">
        <f t="shared" si="1"/>
        <v>1.9258064516129034</v>
      </c>
      <c r="N32" s="11" t="s">
        <v>424</v>
      </c>
    </row>
    <row r="33" spans="1:14" x14ac:dyDescent="0.3">
      <c r="A33" s="4" t="s">
        <v>49</v>
      </c>
      <c r="B33" s="8">
        <v>0.15189814814814814</v>
      </c>
      <c r="C33" s="2">
        <v>29265</v>
      </c>
      <c r="D33" s="2">
        <v>8143</v>
      </c>
      <c r="E33" s="2">
        <v>92</v>
      </c>
      <c r="F33" s="2">
        <v>3906</v>
      </c>
      <c r="G33" s="2">
        <v>463</v>
      </c>
      <c r="H33" s="5">
        <f t="shared" si="0"/>
        <v>0.27825046984452417</v>
      </c>
      <c r="I33" t="s">
        <v>15</v>
      </c>
      <c r="J33" t="s">
        <v>16</v>
      </c>
      <c r="K33">
        <v>218.73333333333329</v>
      </c>
      <c r="L33">
        <f t="shared" si="1"/>
        <v>2.3775362318840574</v>
      </c>
      <c r="N33" t="s">
        <v>426</v>
      </c>
    </row>
    <row r="34" spans="1:14" x14ac:dyDescent="0.3">
      <c r="A34" s="4" t="s">
        <v>50</v>
      </c>
      <c r="B34" s="8">
        <v>7.3425925925925922E-2</v>
      </c>
      <c r="C34" s="2">
        <v>13111</v>
      </c>
      <c r="D34" s="2">
        <v>3767</v>
      </c>
      <c r="E34" s="2">
        <v>40</v>
      </c>
      <c r="F34" s="2">
        <v>1442</v>
      </c>
      <c r="G34" s="2">
        <v>168</v>
      </c>
      <c r="H34" s="5">
        <f t="shared" si="0"/>
        <v>0.2873159942033407</v>
      </c>
      <c r="I34" t="s">
        <v>15</v>
      </c>
      <c r="J34" t="s">
        <v>16</v>
      </c>
      <c r="K34">
        <v>105.73333333333331</v>
      </c>
      <c r="L34">
        <f t="shared" si="1"/>
        <v>2.6433333333333326</v>
      </c>
      <c r="N34" s="11" t="s">
        <v>425</v>
      </c>
    </row>
    <row r="35" spans="1:14" x14ac:dyDescent="0.3">
      <c r="A35" s="4" t="s">
        <v>50</v>
      </c>
      <c r="B35" s="8">
        <v>7.3425925925925922E-2</v>
      </c>
      <c r="C35" s="2">
        <v>14416</v>
      </c>
      <c r="D35" s="2">
        <v>3352</v>
      </c>
      <c r="E35" s="2">
        <v>40</v>
      </c>
      <c r="F35" s="2">
        <v>1713</v>
      </c>
      <c r="G35" s="2">
        <v>200</v>
      </c>
      <c r="H35" s="5">
        <f t="shared" si="0"/>
        <v>0.23251942286348501</v>
      </c>
      <c r="I35" t="s">
        <v>15</v>
      </c>
      <c r="J35" t="s">
        <v>16</v>
      </c>
      <c r="K35">
        <v>105.73333333333331</v>
      </c>
      <c r="L35">
        <f t="shared" si="1"/>
        <v>2.6433333333333326</v>
      </c>
      <c r="N35" t="s">
        <v>425</v>
      </c>
    </row>
    <row r="36" spans="1:14" x14ac:dyDescent="0.3">
      <c r="A36" s="4" t="s">
        <v>51</v>
      </c>
      <c r="B36" s="8">
        <v>8.2581018518518512E-2</v>
      </c>
      <c r="C36" s="2">
        <v>16933</v>
      </c>
      <c r="D36" s="2">
        <v>4840</v>
      </c>
      <c r="E36" s="2">
        <v>48</v>
      </c>
      <c r="F36" s="2">
        <v>2171</v>
      </c>
      <c r="G36" s="2">
        <v>243</v>
      </c>
      <c r="H36" s="5">
        <f t="shared" si="0"/>
        <v>0.28583239827555662</v>
      </c>
      <c r="I36" t="s">
        <v>15</v>
      </c>
      <c r="J36" t="s">
        <v>16</v>
      </c>
      <c r="K36">
        <v>118.9166666666667</v>
      </c>
      <c r="L36">
        <f t="shared" si="1"/>
        <v>2.4774305555555562</v>
      </c>
      <c r="N36" t="s">
        <v>425</v>
      </c>
    </row>
    <row r="37" spans="1:14" x14ac:dyDescent="0.3">
      <c r="A37" s="4" t="s">
        <v>52</v>
      </c>
      <c r="B37" s="8">
        <v>0.12900462962962964</v>
      </c>
      <c r="C37" s="2">
        <v>24123</v>
      </c>
      <c r="D37" s="2">
        <v>6811</v>
      </c>
      <c r="E37" s="2">
        <v>72</v>
      </c>
      <c r="F37" s="2">
        <v>3177</v>
      </c>
      <c r="G37" s="2">
        <v>356</v>
      </c>
      <c r="H37" s="5">
        <f t="shared" si="0"/>
        <v>0.28234465033370643</v>
      </c>
      <c r="I37" t="s">
        <v>15</v>
      </c>
      <c r="J37" t="s">
        <v>16</v>
      </c>
      <c r="K37">
        <v>185.76666666666671</v>
      </c>
      <c r="L37">
        <f t="shared" si="1"/>
        <v>2.5800925925925933</v>
      </c>
      <c r="N37" t="s">
        <v>426</v>
      </c>
    </row>
    <row r="38" spans="1:14" x14ac:dyDescent="0.3">
      <c r="A38" s="4" t="s">
        <v>53</v>
      </c>
      <c r="B38" s="8">
        <v>6.5729166666666672E-2</v>
      </c>
      <c r="C38" s="2">
        <v>14397</v>
      </c>
      <c r="D38" s="2">
        <v>4362</v>
      </c>
      <c r="E38" s="2">
        <v>42</v>
      </c>
      <c r="F38" s="2">
        <v>1820</v>
      </c>
      <c r="G38" s="2">
        <v>221</v>
      </c>
      <c r="H38" s="5">
        <f t="shared" si="0"/>
        <v>0.30297978745571996</v>
      </c>
      <c r="I38" t="s">
        <v>15</v>
      </c>
      <c r="J38" t="s">
        <v>16</v>
      </c>
      <c r="K38">
        <v>94.65</v>
      </c>
      <c r="L38">
        <f t="shared" si="1"/>
        <v>2.2535714285714286</v>
      </c>
      <c r="N38" t="s">
        <v>425</v>
      </c>
    </row>
    <row r="39" spans="1:14" x14ac:dyDescent="0.3">
      <c r="A39" s="4" t="s">
        <v>54</v>
      </c>
      <c r="B39" s="8">
        <v>0.12856481481481483</v>
      </c>
      <c r="C39" s="2">
        <v>28909</v>
      </c>
      <c r="D39" s="2">
        <v>8474</v>
      </c>
      <c r="E39" s="2">
        <v>86</v>
      </c>
      <c r="F39" s="2">
        <v>3422</v>
      </c>
      <c r="G39" s="2">
        <v>433</v>
      </c>
      <c r="H39" s="5">
        <f t="shared" si="0"/>
        <v>0.29312670794562246</v>
      </c>
      <c r="I39" t="s">
        <v>15</v>
      </c>
      <c r="J39" t="s">
        <v>16</v>
      </c>
      <c r="K39">
        <v>185.1333333333333</v>
      </c>
      <c r="L39">
        <f t="shared" si="1"/>
        <v>2.1527131782945732</v>
      </c>
      <c r="N39" s="11" t="s">
        <v>427</v>
      </c>
    </row>
    <row r="40" spans="1:14" x14ac:dyDescent="0.3">
      <c r="A40" s="4" t="s">
        <v>55</v>
      </c>
      <c r="B40" s="8">
        <v>0.12133101851851852</v>
      </c>
      <c r="C40" s="2">
        <v>26006</v>
      </c>
      <c r="D40" s="2">
        <v>6294</v>
      </c>
      <c r="E40" s="2">
        <v>74</v>
      </c>
      <c r="F40" s="2">
        <v>2743</v>
      </c>
      <c r="G40" s="2">
        <v>334</v>
      </c>
      <c r="H40" s="5">
        <f t="shared" si="0"/>
        <v>0.24202107206029377</v>
      </c>
      <c r="I40" t="s">
        <v>15</v>
      </c>
      <c r="J40" t="s">
        <v>16</v>
      </c>
      <c r="K40">
        <v>174.7166666666667</v>
      </c>
      <c r="L40">
        <f t="shared" si="1"/>
        <v>2.3610360360360363</v>
      </c>
      <c r="N40" t="s">
        <v>425</v>
      </c>
    </row>
    <row r="41" spans="1:14" x14ac:dyDescent="0.3">
      <c r="A41" s="4" t="s">
        <v>56</v>
      </c>
      <c r="B41" s="8">
        <v>4.2303240740740738E-2</v>
      </c>
      <c r="C41" s="2">
        <v>8484</v>
      </c>
      <c r="D41" s="2">
        <v>2953</v>
      </c>
      <c r="E41" s="2">
        <v>28</v>
      </c>
      <c r="F41" s="2">
        <v>1170</v>
      </c>
      <c r="G41" s="2">
        <v>154</v>
      </c>
      <c r="H41" s="5">
        <f t="shared" si="0"/>
        <v>0.34806694955209805</v>
      </c>
      <c r="I41" t="s">
        <v>15</v>
      </c>
      <c r="J41" t="s">
        <v>16</v>
      </c>
      <c r="K41">
        <v>60.916666666666657</v>
      </c>
      <c r="L41">
        <f t="shared" si="1"/>
        <v>2.1755952380952377</v>
      </c>
      <c r="N41" t="s">
        <v>428</v>
      </c>
    </row>
    <row r="42" spans="1:14" x14ac:dyDescent="0.3">
      <c r="A42" s="4" t="s">
        <v>57</v>
      </c>
      <c r="B42" s="8">
        <v>0.44792824074074072</v>
      </c>
      <c r="C42" s="2">
        <v>112124</v>
      </c>
      <c r="D42" s="2">
        <v>29509</v>
      </c>
      <c r="E42" s="2">
        <v>340</v>
      </c>
      <c r="F42" s="2">
        <v>12425</v>
      </c>
      <c r="G42" s="2">
        <v>1622</v>
      </c>
      <c r="H42" s="5">
        <f t="shared" si="0"/>
        <v>0.26318183439763121</v>
      </c>
      <c r="I42" t="s">
        <v>23</v>
      </c>
      <c r="J42" t="s">
        <v>16</v>
      </c>
      <c r="K42">
        <v>645.01666666666665</v>
      </c>
      <c r="L42">
        <f t="shared" si="1"/>
        <v>1.8971078431372548</v>
      </c>
      <c r="N42" t="s">
        <v>408</v>
      </c>
    </row>
    <row r="43" spans="1:14" x14ac:dyDescent="0.3">
      <c r="A43" s="4" t="s">
        <v>58</v>
      </c>
      <c r="B43" s="8">
        <v>7.789351851851852E-3</v>
      </c>
      <c r="C43" s="2">
        <v>1679</v>
      </c>
      <c r="D43" s="2">
        <v>450</v>
      </c>
      <c r="E43" s="2">
        <v>5</v>
      </c>
      <c r="F43" s="2">
        <v>124</v>
      </c>
      <c r="G43" s="2">
        <v>25</v>
      </c>
      <c r="H43" s="5">
        <f t="shared" si="0"/>
        <v>0.26801667659321027</v>
      </c>
      <c r="I43" t="s">
        <v>59</v>
      </c>
      <c r="J43" t="s">
        <v>61</v>
      </c>
      <c r="K43">
        <v>11.21666666666667</v>
      </c>
      <c r="L43">
        <f t="shared" si="1"/>
        <v>2.2433333333333341</v>
      </c>
      <c r="N43" t="s">
        <v>429</v>
      </c>
    </row>
    <row r="44" spans="1:14" x14ac:dyDescent="0.3">
      <c r="A44" s="4" t="s">
        <v>60</v>
      </c>
      <c r="B44" s="8">
        <v>6.3796296296296295E-2</v>
      </c>
      <c r="C44" s="2">
        <v>14585</v>
      </c>
      <c r="D44" s="2">
        <v>4825</v>
      </c>
      <c r="E44" s="2">
        <v>51</v>
      </c>
      <c r="F44" s="2">
        <v>1855</v>
      </c>
      <c r="G44" s="2">
        <v>279</v>
      </c>
      <c r="H44" s="5">
        <f t="shared" si="0"/>
        <v>0.33081933493315052</v>
      </c>
      <c r="I44" t="s">
        <v>23</v>
      </c>
      <c r="J44" t="s">
        <v>16</v>
      </c>
      <c r="K44">
        <v>91.86666666666666</v>
      </c>
      <c r="L44">
        <f t="shared" si="1"/>
        <v>1.8013071895424835</v>
      </c>
      <c r="N44" t="s">
        <v>430</v>
      </c>
    </row>
    <row r="45" spans="1:14" x14ac:dyDescent="0.3">
      <c r="A45" s="4" t="s">
        <v>62</v>
      </c>
      <c r="B45" s="8">
        <v>5.5312500000000001E-2</v>
      </c>
      <c r="C45" s="2">
        <v>10872</v>
      </c>
      <c r="D45" s="2">
        <v>3006</v>
      </c>
      <c r="E45" s="2">
        <v>32</v>
      </c>
      <c r="F45" s="2">
        <v>1162</v>
      </c>
      <c r="G45" s="2">
        <v>160</v>
      </c>
      <c r="H45" s="5">
        <f t="shared" si="0"/>
        <v>0.27649006622516559</v>
      </c>
      <c r="I45" t="s">
        <v>11</v>
      </c>
      <c r="J45" t="s">
        <v>16</v>
      </c>
      <c r="K45">
        <v>79.650000000000006</v>
      </c>
      <c r="L45">
        <f t="shared" si="1"/>
        <v>2.4890625000000002</v>
      </c>
      <c r="N45" t="s">
        <v>411</v>
      </c>
    </row>
    <row r="46" spans="1:14" x14ac:dyDescent="0.3">
      <c r="A46" s="4" t="s">
        <v>63</v>
      </c>
      <c r="B46" s="8">
        <v>6.4236111111111105E-2</v>
      </c>
      <c r="C46" s="2">
        <v>12598</v>
      </c>
      <c r="D46" s="2">
        <v>3621</v>
      </c>
      <c r="E46" s="2">
        <v>39</v>
      </c>
      <c r="F46" s="2">
        <v>1403</v>
      </c>
      <c r="G46" s="2">
        <v>201</v>
      </c>
      <c r="H46" s="5">
        <f t="shared" si="0"/>
        <v>0.28742657564692808</v>
      </c>
      <c r="I46" t="s">
        <v>11</v>
      </c>
      <c r="J46" t="s">
        <v>16</v>
      </c>
      <c r="K46">
        <v>92.5</v>
      </c>
      <c r="L46">
        <f t="shared" si="1"/>
        <v>2.3717948717948718</v>
      </c>
      <c r="N46" t="s">
        <v>414</v>
      </c>
    </row>
    <row r="47" spans="1:14" x14ac:dyDescent="0.3">
      <c r="A47" s="4" t="s">
        <v>64</v>
      </c>
      <c r="B47" s="8">
        <v>4.5150462962962962E-2</v>
      </c>
      <c r="C47" s="2">
        <v>8812</v>
      </c>
      <c r="D47" s="2">
        <v>2538</v>
      </c>
      <c r="E47" s="2">
        <v>28</v>
      </c>
      <c r="F47" s="2">
        <v>1025</v>
      </c>
      <c r="G47" s="2">
        <v>129</v>
      </c>
      <c r="H47" s="5">
        <f t="shared" si="0"/>
        <v>0.28801634135270088</v>
      </c>
      <c r="I47" t="s">
        <v>34</v>
      </c>
      <c r="J47" t="s">
        <v>16</v>
      </c>
      <c r="K47">
        <v>65.016666666666666</v>
      </c>
      <c r="L47">
        <f t="shared" si="1"/>
        <v>2.3220238095238095</v>
      </c>
      <c r="N47" s="11" t="s">
        <v>431</v>
      </c>
    </row>
    <row r="48" spans="1:14" x14ac:dyDescent="0.3">
      <c r="A48" s="4" t="s">
        <v>65</v>
      </c>
      <c r="B48" s="8">
        <v>0.16173611111111111</v>
      </c>
      <c r="C48" s="2">
        <v>37111</v>
      </c>
      <c r="D48" s="2">
        <v>9647</v>
      </c>
      <c r="E48" s="2">
        <v>112</v>
      </c>
      <c r="F48" s="2">
        <v>3826</v>
      </c>
      <c r="G48" s="2">
        <v>528</v>
      </c>
      <c r="H48" s="5">
        <f t="shared" si="0"/>
        <v>0.25994988008946135</v>
      </c>
      <c r="I48" t="s">
        <v>23</v>
      </c>
      <c r="J48" t="s">
        <v>16</v>
      </c>
      <c r="K48">
        <v>232.9</v>
      </c>
      <c r="L48">
        <f t="shared" si="1"/>
        <v>2.0794642857142858</v>
      </c>
      <c r="N48" t="s">
        <v>412</v>
      </c>
    </row>
    <row r="49" spans="1:14" x14ac:dyDescent="0.3">
      <c r="A49" s="4" t="s">
        <v>66</v>
      </c>
      <c r="B49" s="8">
        <v>7.0648148148148154E-2</v>
      </c>
      <c r="C49" s="2">
        <v>13811</v>
      </c>
      <c r="D49" s="2">
        <v>3852</v>
      </c>
      <c r="E49" s="2">
        <v>44</v>
      </c>
      <c r="F49" s="2">
        <v>1858</v>
      </c>
      <c r="G49" s="2">
        <v>233</v>
      </c>
      <c r="H49" s="5">
        <f t="shared" si="0"/>
        <v>0.2789081167185577</v>
      </c>
      <c r="I49" t="s">
        <v>23</v>
      </c>
      <c r="J49" t="s">
        <v>16</v>
      </c>
      <c r="K49">
        <v>101.73333333333331</v>
      </c>
      <c r="L49">
        <f t="shared" si="1"/>
        <v>2.3121212121212116</v>
      </c>
      <c r="N49" t="s">
        <v>408</v>
      </c>
    </row>
    <row r="50" spans="1:14" x14ac:dyDescent="0.3">
      <c r="A50" s="4" t="s">
        <v>67</v>
      </c>
      <c r="B50" s="8">
        <v>9.2372685185185183E-2</v>
      </c>
      <c r="C50" s="2">
        <v>21346</v>
      </c>
      <c r="D50" s="2">
        <v>5537</v>
      </c>
      <c r="E50" s="2">
        <v>64</v>
      </c>
      <c r="F50" s="2">
        <v>2902</v>
      </c>
      <c r="G50" s="2">
        <v>288</v>
      </c>
      <c r="H50" s="5">
        <f t="shared" si="0"/>
        <v>0.25939286048908461</v>
      </c>
      <c r="I50" t="s">
        <v>15</v>
      </c>
      <c r="J50" t="s">
        <v>16</v>
      </c>
      <c r="K50">
        <v>133.01666666666671</v>
      </c>
      <c r="L50">
        <f t="shared" si="1"/>
        <v>2.0783854166666673</v>
      </c>
      <c r="N50" t="s">
        <v>416</v>
      </c>
    </row>
    <row r="51" spans="1:14" x14ac:dyDescent="0.3">
      <c r="A51" s="4" t="s">
        <v>68</v>
      </c>
      <c r="B51" s="8">
        <v>0.10215277777777777</v>
      </c>
      <c r="C51" s="2">
        <v>21397</v>
      </c>
      <c r="D51" s="2">
        <v>5636</v>
      </c>
      <c r="E51" s="2">
        <v>66</v>
      </c>
      <c r="F51" s="2">
        <v>3566</v>
      </c>
      <c r="G51" s="2">
        <v>325</v>
      </c>
      <c r="H51" s="5">
        <f t="shared" si="0"/>
        <v>0.26340141141281487</v>
      </c>
      <c r="I51" t="s">
        <v>23</v>
      </c>
      <c r="J51" t="s">
        <v>16</v>
      </c>
      <c r="K51">
        <v>147.1</v>
      </c>
      <c r="L51">
        <f t="shared" si="1"/>
        <v>2.2287878787878785</v>
      </c>
      <c r="N51" t="s">
        <v>417</v>
      </c>
    </row>
    <row r="52" spans="1:14" x14ac:dyDescent="0.3">
      <c r="A52" s="4" t="s">
        <v>69</v>
      </c>
      <c r="B52" s="8">
        <v>3.7245370370370373E-2</v>
      </c>
      <c r="C52" s="2">
        <v>7914</v>
      </c>
      <c r="D52" s="2">
        <v>2452</v>
      </c>
      <c r="E52" s="2">
        <v>24</v>
      </c>
      <c r="F52" s="2">
        <v>910</v>
      </c>
      <c r="G52" s="2">
        <v>135</v>
      </c>
      <c r="H52" s="5">
        <f t="shared" si="0"/>
        <v>0.30983067980793533</v>
      </c>
      <c r="I52" t="s">
        <v>11</v>
      </c>
      <c r="J52" t="s">
        <v>16</v>
      </c>
      <c r="K52">
        <v>53.633333333333333</v>
      </c>
      <c r="L52">
        <f t="shared" si="1"/>
        <v>2.2347222222222221</v>
      </c>
      <c r="N52" t="s">
        <v>432</v>
      </c>
    </row>
    <row r="53" spans="1:14" x14ac:dyDescent="0.3">
      <c r="A53" s="4" t="s">
        <v>70</v>
      </c>
      <c r="B53" s="8">
        <v>0.11210648148148149</v>
      </c>
      <c r="C53" s="2">
        <v>22011</v>
      </c>
      <c r="D53" s="2">
        <v>4562</v>
      </c>
      <c r="E53" s="2">
        <v>66</v>
      </c>
      <c r="F53" s="2">
        <v>2222</v>
      </c>
      <c r="G53" s="2">
        <v>251</v>
      </c>
      <c r="H53" s="5">
        <f t="shared" si="0"/>
        <v>0.20726000636045613</v>
      </c>
      <c r="I53" t="s">
        <v>11</v>
      </c>
      <c r="J53" t="s">
        <v>16</v>
      </c>
      <c r="K53">
        <v>161.43333333333331</v>
      </c>
      <c r="L53">
        <f t="shared" si="1"/>
        <v>2.4459595959595957</v>
      </c>
      <c r="N53" t="s">
        <v>407</v>
      </c>
    </row>
    <row r="54" spans="1:14" x14ac:dyDescent="0.3">
      <c r="A54" s="4" t="s">
        <v>71</v>
      </c>
      <c r="B54" s="8">
        <v>5.0034722222222223E-2</v>
      </c>
      <c r="C54" s="2">
        <v>8232</v>
      </c>
      <c r="D54" s="2">
        <v>2273</v>
      </c>
      <c r="E54" s="2">
        <v>26</v>
      </c>
      <c r="F54" s="2">
        <v>988</v>
      </c>
      <c r="G54" s="2">
        <v>131</v>
      </c>
      <c r="H54" s="5">
        <f t="shared" si="0"/>
        <v>0.27611758989310009</v>
      </c>
      <c r="I54" t="s">
        <v>15</v>
      </c>
      <c r="J54" t="s">
        <v>16</v>
      </c>
      <c r="K54">
        <v>72.05</v>
      </c>
      <c r="L54">
        <f t="shared" si="1"/>
        <v>2.7711538461538461</v>
      </c>
      <c r="N54" t="s">
        <v>409</v>
      </c>
    </row>
    <row r="55" spans="1:14" x14ac:dyDescent="0.3">
      <c r="A55" s="4" t="s">
        <v>72</v>
      </c>
      <c r="B55" s="8">
        <v>0.23457175925925927</v>
      </c>
      <c r="C55" s="2">
        <v>46224</v>
      </c>
      <c r="D55" s="2">
        <v>13373</v>
      </c>
      <c r="E55" s="2">
        <v>143</v>
      </c>
      <c r="F55" s="2">
        <v>5896</v>
      </c>
      <c r="G55" s="2">
        <v>715</v>
      </c>
      <c r="H55" s="5">
        <f t="shared" si="0"/>
        <v>0.28930858428521977</v>
      </c>
      <c r="I55" t="s">
        <v>11</v>
      </c>
      <c r="J55" t="s">
        <v>76</v>
      </c>
      <c r="K55">
        <v>337.78333333333342</v>
      </c>
      <c r="L55">
        <f t="shared" si="1"/>
        <v>2.3621212121212127</v>
      </c>
      <c r="N55" t="s">
        <v>419</v>
      </c>
    </row>
    <row r="56" spans="1:14" x14ac:dyDescent="0.3">
      <c r="A56" s="4" t="s">
        <v>73</v>
      </c>
      <c r="B56" s="8">
        <v>0.16157407407407406</v>
      </c>
      <c r="C56" s="2">
        <v>32603</v>
      </c>
      <c r="D56" s="2">
        <v>8836</v>
      </c>
      <c r="E56" s="2">
        <v>99</v>
      </c>
      <c r="F56" s="2">
        <v>3922</v>
      </c>
      <c r="G56" s="2">
        <v>486</v>
      </c>
      <c r="H56" s="5">
        <f t="shared" si="0"/>
        <v>0.27101800447811553</v>
      </c>
      <c r="I56" t="s">
        <v>11</v>
      </c>
      <c r="J56" t="s">
        <v>76</v>
      </c>
      <c r="K56">
        <v>232.66666666666671</v>
      </c>
      <c r="L56">
        <f t="shared" si="1"/>
        <v>2.3501683501683508</v>
      </c>
      <c r="N56" t="s">
        <v>433</v>
      </c>
    </row>
    <row r="57" spans="1:14" x14ac:dyDescent="0.3">
      <c r="A57" s="4" t="s">
        <v>74</v>
      </c>
      <c r="B57" s="8">
        <v>0.14856481481481482</v>
      </c>
      <c r="C57" s="2">
        <v>27995</v>
      </c>
      <c r="D57" s="2">
        <v>7456</v>
      </c>
      <c r="E57" s="2">
        <v>86</v>
      </c>
      <c r="F57" s="2">
        <v>3473</v>
      </c>
      <c r="G57" s="2">
        <v>402</v>
      </c>
      <c r="H57" s="5">
        <f t="shared" si="0"/>
        <v>0.26633327379889266</v>
      </c>
      <c r="I57" t="s">
        <v>11</v>
      </c>
      <c r="J57" t="s">
        <v>76</v>
      </c>
      <c r="K57">
        <v>213.93333333333331</v>
      </c>
      <c r="L57">
        <f t="shared" si="1"/>
        <v>2.4875968992248061</v>
      </c>
      <c r="N57" t="s">
        <v>414</v>
      </c>
    </row>
    <row r="58" spans="1:14" x14ac:dyDescent="0.3">
      <c r="A58" s="4" t="s">
        <v>75</v>
      </c>
      <c r="B58" s="8">
        <v>0.10304398148148149</v>
      </c>
      <c r="C58" s="2">
        <v>19917</v>
      </c>
      <c r="D58" s="2">
        <v>5110</v>
      </c>
      <c r="E58" s="2">
        <v>59</v>
      </c>
      <c r="F58" s="2">
        <v>2467</v>
      </c>
      <c r="G58" s="2">
        <v>280</v>
      </c>
      <c r="H58" s="5">
        <f t="shared" si="0"/>
        <v>0.25656474368629811</v>
      </c>
      <c r="I58" t="s">
        <v>11</v>
      </c>
      <c r="J58" t="s">
        <v>76</v>
      </c>
      <c r="K58">
        <v>148.3833333333333</v>
      </c>
      <c r="L58">
        <f t="shared" si="1"/>
        <v>2.5149717514124288</v>
      </c>
      <c r="N58" t="s">
        <v>411</v>
      </c>
    </row>
    <row r="59" spans="1:14" x14ac:dyDescent="0.3">
      <c r="A59" s="4" t="s">
        <v>77</v>
      </c>
      <c r="B59" s="8">
        <v>0.16306712962962963</v>
      </c>
      <c r="C59" s="2">
        <v>32724</v>
      </c>
      <c r="D59" s="2">
        <v>8588</v>
      </c>
      <c r="E59" s="2">
        <v>97</v>
      </c>
      <c r="F59" s="2">
        <v>3931</v>
      </c>
      <c r="G59" s="2">
        <v>444</v>
      </c>
      <c r="H59" s="5">
        <f t="shared" si="0"/>
        <v>0.26243735484659575</v>
      </c>
      <c r="I59" t="s">
        <v>11</v>
      </c>
      <c r="J59" t="s">
        <v>76</v>
      </c>
      <c r="K59">
        <v>234.81666666666669</v>
      </c>
      <c r="L59">
        <f t="shared" si="1"/>
        <v>2.4207903780068731</v>
      </c>
      <c r="N59" t="s">
        <v>402</v>
      </c>
    </row>
    <row r="60" spans="1:14" x14ac:dyDescent="0.3">
      <c r="A60" s="4" t="s">
        <v>78</v>
      </c>
      <c r="B60" s="8">
        <v>0.11789351851851852</v>
      </c>
      <c r="C60" s="2">
        <v>27487</v>
      </c>
      <c r="D60" s="2">
        <v>10123</v>
      </c>
      <c r="E60" s="2">
        <v>82</v>
      </c>
      <c r="F60" s="2">
        <v>3004</v>
      </c>
      <c r="G60" s="2">
        <v>499</v>
      </c>
      <c r="H60" s="5">
        <f t="shared" si="0"/>
        <v>0.36828318841634228</v>
      </c>
      <c r="I60" t="s">
        <v>11</v>
      </c>
      <c r="J60" t="s">
        <v>76</v>
      </c>
      <c r="K60">
        <v>169.76666666666671</v>
      </c>
      <c r="L60">
        <f t="shared" si="1"/>
        <v>2.070325203252033</v>
      </c>
      <c r="N60" t="s">
        <v>434</v>
      </c>
    </row>
    <row r="61" spans="1:14" x14ac:dyDescent="0.3">
      <c r="A61" s="9" t="s">
        <v>10</v>
      </c>
      <c r="B61" s="10" t="s">
        <v>13</v>
      </c>
      <c r="C61" s="2">
        <v>5981</v>
      </c>
      <c r="D61" s="2">
        <v>1327</v>
      </c>
      <c r="E61" s="2">
        <v>18</v>
      </c>
      <c r="F61" s="2">
        <v>456</v>
      </c>
      <c r="G61" s="2">
        <v>85</v>
      </c>
      <c r="H61" s="2">
        <f>D61/C61</f>
        <v>0.2218692526333389</v>
      </c>
      <c r="I61" t="s">
        <v>11</v>
      </c>
      <c r="J61" t="s">
        <v>79</v>
      </c>
      <c r="K61">
        <v>34.229999999999997</v>
      </c>
      <c r="L61">
        <f t="shared" si="1"/>
        <v>1.9016666666666664</v>
      </c>
      <c r="N61" t="s">
        <v>435</v>
      </c>
    </row>
    <row r="62" spans="1:14" x14ac:dyDescent="0.3">
      <c r="A62" s="9" t="s">
        <v>80</v>
      </c>
      <c r="B62" s="10" t="s">
        <v>81</v>
      </c>
      <c r="C62" s="2">
        <v>15191</v>
      </c>
      <c r="D62" s="2">
        <v>4169</v>
      </c>
      <c r="E62" s="2">
        <v>44</v>
      </c>
      <c r="F62" s="2">
        <v>1713</v>
      </c>
      <c r="G62" s="2">
        <v>236</v>
      </c>
      <c r="H62" s="2">
        <f t="shared" ref="H62:H125" si="2">D62/C62</f>
        <v>0.27443881245474294</v>
      </c>
      <c r="I62" t="s">
        <v>34</v>
      </c>
      <c r="J62" t="s">
        <v>82</v>
      </c>
      <c r="K62">
        <v>110.37</v>
      </c>
      <c r="L62">
        <f t="shared" si="1"/>
        <v>2.5084090909090908</v>
      </c>
      <c r="N62" s="11" t="s">
        <v>436</v>
      </c>
    </row>
    <row r="63" spans="1:14" x14ac:dyDescent="0.3">
      <c r="A63" s="9" t="s">
        <v>83</v>
      </c>
      <c r="B63" s="2" t="s">
        <v>84</v>
      </c>
      <c r="C63" s="2">
        <v>10205</v>
      </c>
      <c r="D63" s="2">
        <v>3083</v>
      </c>
      <c r="E63" s="2">
        <v>29</v>
      </c>
      <c r="F63" s="2">
        <v>1049</v>
      </c>
      <c r="G63" s="2">
        <v>170</v>
      </c>
      <c r="H63" s="2">
        <f t="shared" si="2"/>
        <v>0.30210681038706516</v>
      </c>
      <c r="I63" t="s">
        <v>34</v>
      </c>
      <c r="J63" t="s">
        <v>85</v>
      </c>
      <c r="K63">
        <v>62.48</v>
      </c>
      <c r="L63">
        <f t="shared" si="1"/>
        <v>2.1544827586206896</v>
      </c>
      <c r="N63" t="s">
        <v>437</v>
      </c>
    </row>
    <row r="64" spans="1:14" x14ac:dyDescent="0.3">
      <c r="A64" s="9" t="s">
        <v>86</v>
      </c>
      <c r="B64" s="2" t="s">
        <v>87</v>
      </c>
      <c r="C64" s="2">
        <v>2520</v>
      </c>
      <c r="D64" s="2">
        <v>779</v>
      </c>
      <c r="E64" s="2">
        <v>8</v>
      </c>
      <c r="F64" s="2">
        <v>225</v>
      </c>
      <c r="G64" s="2">
        <v>41</v>
      </c>
      <c r="H64" s="2">
        <f t="shared" si="2"/>
        <v>0.30912698412698414</v>
      </c>
      <c r="I64" t="s">
        <v>34</v>
      </c>
      <c r="J64" t="s">
        <v>85</v>
      </c>
      <c r="K64">
        <v>15.32</v>
      </c>
      <c r="L64">
        <f t="shared" si="1"/>
        <v>1.915</v>
      </c>
      <c r="N64" t="s">
        <v>436</v>
      </c>
    </row>
    <row r="65" spans="1:14" x14ac:dyDescent="0.3">
      <c r="A65" s="9" t="s">
        <v>88</v>
      </c>
      <c r="B65" s="2" t="s">
        <v>89</v>
      </c>
      <c r="C65" s="2">
        <v>8812</v>
      </c>
      <c r="D65" s="2">
        <v>2373</v>
      </c>
      <c r="E65" s="2">
        <v>28</v>
      </c>
      <c r="F65" s="2">
        <v>1025</v>
      </c>
      <c r="G65" s="2">
        <v>134</v>
      </c>
      <c r="H65" s="2">
        <f t="shared" si="2"/>
        <v>0.26929187471629595</v>
      </c>
      <c r="I65" t="s">
        <v>34</v>
      </c>
      <c r="J65" t="s">
        <v>90</v>
      </c>
      <c r="K65">
        <v>65.02</v>
      </c>
      <c r="L65">
        <f t="shared" si="1"/>
        <v>2.3221428571428571</v>
      </c>
      <c r="N65" t="s">
        <v>431</v>
      </c>
    </row>
    <row r="66" spans="1:14" x14ac:dyDescent="0.3">
      <c r="A66" s="9" t="s">
        <v>91</v>
      </c>
      <c r="B66" s="2" t="s">
        <v>92</v>
      </c>
      <c r="C66" s="2">
        <v>21968</v>
      </c>
      <c r="D66" s="2">
        <v>5909</v>
      </c>
      <c r="E66" s="2">
        <v>65</v>
      </c>
      <c r="F66" s="2">
        <v>2936</v>
      </c>
      <c r="G66" s="2">
        <v>360</v>
      </c>
      <c r="H66" s="2">
        <f t="shared" si="2"/>
        <v>0.26898215586307356</v>
      </c>
      <c r="I66" t="s">
        <v>34</v>
      </c>
      <c r="J66" t="s">
        <v>93</v>
      </c>
      <c r="K66">
        <v>116.38</v>
      </c>
      <c r="L66">
        <f t="shared" si="1"/>
        <v>1.7904615384615383</v>
      </c>
      <c r="N66" t="s">
        <v>438</v>
      </c>
    </row>
    <row r="67" spans="1:14" x14ac:dyDescent="0.3">
      <c r="A67" s="9" t="s">
        <v>94</v>
      </c>
      <c r="B67" s="2" t="s">
        <v>95</v>
      </c>
      <c r="C67" s="2">
        <v>16495</v>
      </c>
      <c r="D67" s="2">
        <v>5555</v>
      </c>
      <c r="E67" s="2">
        <v>48</v>
      </c>
      <c r="F67" s="2">
        <v>1894</v>
      </c>
      <c r="G67" s="2">
        <v>258</v>
      </c>
      <c r="H67" s="2">
        <f t="shared" si="2"/>
        <v>0.33676871779327067</v>
      </c>
      <c r="I67" t="s">
        <v>11</v>
      </c>
      <c r="J67" t="s">
        <v>96</v>
      </c>
      <c r="K67">
        <v>118.65</v>
      </c>
      <c r="L67">
        <f t="shared" ref="L67:L130" si="3">K67/E67</f>
        <v>2.4718750000000003</v>
      </c>
      <c r="N67" t="s">
        <v>409</v>
      </c>
    </row>
    <row r="68" spans="1:14" x14ac:dyDescent="0.3">
      <c r="A68" s="9" t="s">
        <v>97</v>
      </c>
      <c r="B68" s="2" t="s">
        <v>98</v>
      </c>
      <c r="C68" s="2">
        <v>1522</v>
      </c>
      <c r="D68" s="2">
        <v>475</v>
      </c>
      <c r="E68" s="2">
        <v>5</v>
      </c>
      <c r="F68" s="2">
        <v>156</v>
      </c>
      <c r="G68" s="2">
        <v>22</v>
      </c>
      <c r="H68" s="2">
        <f t="shared" si="2"/>
        <v>0.31208935611038108</v>
      </c>
      <c r="I68" t="s">
        <v>59</v>
      </c>
      <c r="J68" t="s">
        <v>99</v>
      </c>
      <c r="K68">
        <v>9.85</v>
      </c>
      <c r="L68">
        <f t="shared" si="3"/>
        <v>1.97</v>
      </c>
      <c r="N68" s="11" t="s">
        <v>439</v>
      </c>
    </row>
    <row r="69" spans="1:14" x14ac:dyDescent="0.3">
      <c r="A69" s="9" t="s">
        <v>100</v>
      </c>
      <c r="B69" s="2" t="s">
        <v>101</v>
      </c>
      <c r="C69" s="2">
        <v>928</v>
      </c>
      <c r="D69" s="2">
        <v>370</v>
      </c>
      <c r="E69" s="2">
        <v>3</v>
      </c>
      <c r="F69" s="2">
        <v>80</v>
      </c>
      <c r="G69" s="2">
        <v>18</v>
      </c>
      <c r="H69" s="2">
        <f t="shared" si="2"/>
        <v>0.39870689655172414</v>
      </c>
      <c r="I69" t="s">
        <v>59</v>
      </c>
      <c r="J69" t="s">
        <v>99</v>
      </c>
      <c r="K69">
        <v>5.85</v>
      </c>
      <c r="L69">
        <f t="shared" si="3"/>
        <v>1.95</v>
      </c>
      <c r="N69" t="s">
        <v>439</v>
      </c>
    </row>
    <row r="70" spans="1:14" x14ac:dyDescent="0.3">
      <c r="A70" s="9" t="s">
        <v>102</v>
      </c>
      <c r="B70" s="2" t="s">
        <v>103</v>
      </c>
      <c r="C70" s="2">
        <v>883</v>
      </c>
      <c r="D70" s="2">
        <v>379</v>
      </c>
      <c r="E70" s="2">
        <v>3</v>
      </c>
      <c r="F70" s="2">
        <v>44</v>
      </c>
      <c r="G70" s="2">
        <v>19</v>
      </c>
      <c r="H70" s="2">
        <f t="shared" si="2"/>
        <v>0.42921857304643263</v>
      </c>
      <c r="I70" t="s">
        <v>59</v>
      </c>
      <c r="J70" t="s">
        <v>99</v>
      </c>
      <c r="K70">
        <v>6.47</v>
      </c>
      <c r="L70">
        <f t="shared" si="3"/>
        <v>2.1566666666666667</v>
      </c>
      <c r="N70" t="s">
        <v>439</v>
      </c>
    </row>
    <row r="71" spans="1:14" x14ac:dyDescent="0.3">
      <c r="A71" s="9" t="s">
        <v>104</v>
      </c>
      <c r="B71" s="2" t="s">
        <v>105</v>
      </c>
      <c r="C71" s="2">
        <v>727</v>
      </c>
      <c r="D71" s="2">
        <v>258</v>
      </c>
      <c r="E71" s="2">
        <v>3</v>
      </c>
      <c r="F71" s="2">
        <v>104</v>
      </c>
      <c r="G71" s="2">
        <v>17</v>
      </c>
      <c r="H71" s="2">
        <f t="shared" si="2"/>
        <v>0.35488308115543327</v>
      </c>
      <c r="I71" t="s">
        <v>59</v>
      </c>
      <c r="J71" t="s">
        <v>99</v>
      </c>
      <c r="K71">
        <v>5.52</v>
      </c>
      <c r="L71">
        <f t="shared" si="3"/>
        <v>1.8399999999999999</v>
      </c>
      <c r="N71" t="s">
        <v>439</v>
      </c>
    </row>
    <row r="72" spans="1:14" x14ac:dyDescent="0.3">
      <c r="A72" s="9" t="s">
        <v>106</v>
      </c>
      <c r="B72" s="2" t="s">
        <v>107</v>
      </c>
      <c r="C72" s="2">
        <v>615</v>
      </c>
      <c r="D72" s="2">
        <v>203</v>
      </c>
      <c r="E72" s="2">
        <v>2</v>
      </c>
      <c r="F72" s="2">
        <v>86</v>
      </c>
      <c r="G72" s="2">
        <v>13</v>
      </c>
      <c r="H72" s="2">
        <f t="shared" si="2"/>
        <v>0.33008130081300813</v>
      </c>
      <c r="I72" t="s">
        <v>59</v>
      </c>
      <c r="J72" t="s">
        <v>99</v>
      </c>
      <c r="K72">
        <v>4.0199999999999996</v>
      </c>
      <c r="L72">
        <f t="shared" si="3"/>
        <v>2.0099999999999998</v>
      </c>
      <c r="N72" t="s">
        <v>439</v>
      </c>
    </row>
    <row r="73" spans="1:14" x14ac:dyDescent="0.3">
      <c r="A73" s="9" t="s">
        <v>108</v>
      </c>
      <c r="B73" s="2" t="s">
        <v>109</v>
      </c>
      <c r="C73" s="2">
        <v>1065</v>
      </c>
      <c r="D73" s="2">
        <v>327</v>
      </c>
      <c r="E73" s="2">
        <v>4</v>
      </c>
      <c r="F73" s="2">
        <v>118</v>
      </c>
      <c r="G73" s="2">
        <v>19</v>
      </c>
      <c r="H73" s="2">
        <f t="shared" si="2"/>
        <v>0.30704225352112674</v>
      </c>
      <c r="I73" t="s">
        <v>59</v>
      </c>
      <c r="J73" t="s">
        <v>99</v>
      </c>
      <c r="K73">
        <v>7.23</v>
      </c>
      <c r="L73">
        <f t="shared" si="3"/>
        <v>1.8075000000000001</v>
      </c>
      <c r="N73" t="s">
        <v>439</v>
      </c>
    </row>
    <row r="74" spans="1:14" x14ac:dyDescent="0.3">
      <c r="A74" s="9" t="s">
        <v>110</v>
      </c>
      <c r="B74" s="2" t="s">
        <v>111</v>
      </c>
      <c r="C74" s="2">
        <v>1346</v>
      </c>
      <c r="D74" s="2">
        <v>448</v>
      </c>
      <c r="E74" s="2">
        <v>5</v>
      </c>
      <c r="F74" s="2">
        <v>123</v>
      </c>
      <c r="G74" s="2">
        <v>29</v>
      </c>
      <c r="H74" s="2">
        <f t="shared" si="2"/>
        <v>0.33283803863298661</v>
      </c>
      <c r="I74" t="s">
        <v>59</v>
      </c>
      <c r="J74" t="s">
        <v>99</v>
      </c>
      <c r="K74">
        <v>8.23</v>
      </c>
      <c r="L74">
        <f t="shared" si="3"/>
        <v>1.6460000000000001</v>
      </c>
      <c r="N74" t="s">
        <v>439</v>
      </c>
    </row>
    <row r="75" spans="1:14" x14ac:dyDescent="0.3">
      <c r="A75" s="9" t="s">
        <v>112</v>
      </c>
      <c r="B75" s="2" t="s">
        <v>113</v>
      </c>
      <c r="C75" s="2">
        <v>934</v>
      </c>
      <c r="D75" s="2">
        <v>294</v>
      </c>
      <c r="E75" s="2">
        <v>3</v>
      </c>
      <c r="F75" s="2">
        <v>66</v>
      </c>
      <c r="G75" s="2">
        <v>16</v>
      </c>
      <c r="H75" s="2">
        <f t="shared" si="2"/>
        <v>0.31477516059957172</v>
      </c>
      <c r="I75" t="s">
        <v>59</v>
      </c>
      <c r="J75" t="s">
        <v>99</v>
      </c>
      <c r="K75">
        <v>6.32</v>
      </c>
      <c r="L75">
        <f t="shared" si="3"/>
        <v>2.1066666666666669</v>
      </c>
      <c r="N75" t="s">
        <v>439</v>
      </c>
    </row>
    <row r="76" spans="1:14" x14ac:dyDescent="0.3">
      <c r="A76" s="9" t="s">
        <v>114</v>
      </c>
      <c r="B76" s="2" t="s">
        <v>115</v>
      </c>
      <c r="C76" s="2">
        <v>1911</v>
      </c>
      <c r="D76" s="2">
        <v>601</v>
      </c>
      <c r="E76" s="2">
        <v>6</v>
      </c>
      <c r="F76" s="2">
        <v>166</v>
      </c>
      <c r="G76" s="2">
        <v>37</v>
      </c>
      <c r="H76" s="2">
        <f t="shared" si="2"/>
        <v>0.31449502878074309</v>
      </c>
      <c r="I76" t="s">
        <v>59</v>
      </c>
      <c r="J76" t="s">
        <v>99</v>
      </c>
      <c r="K76">
        <v>12.77</v>
      </c>
      <c r="L76">
        <f t="shared" si="3"/>
        <v>2.1283333333333334</v>
      </c>
      <c r="N76" t="s">
        <v>439</v>
      </c>
    </row>
    <row r="77" spans="1:14" x14ac:dyDescent="0.3">
      <c r="A77" s="9" t="s">
        <v>116</v>
      </c>
      <c r="B77" s="2" t="s">
        <v>117</v>
      </c>
      <c r="C77" s="2">
        <v>1911</v>
      </c>
      <c r="D77" s="2">
        <v>499</v>
      </c>
      <c r="E77" s="2">
        <v>6</v>
      </c>
      <c r="F77" s="2">
        <v>166</v>
      </c>
      <c r="G77" s="2">
        <v>30</v>
      </c>
      <c r="H77" s="2">
        <f t="shared" si="2"/>
        <v>0.26111983254840399</v>
      </c>
      <c r="I77" t="s">
        <v>59</v>
      </c>
      <c r="J77" t="s">
        <v>99</v>
      </c>
      <c r="K77">
        <v>8.6999999999999993</v>
      </c>
      <c r="L77">
        <f t="shared" si="3"/>
        <v>1.45</v>
      </c>
      <c r="N77" t="s">
        <v>439</v>
      </c>
    </row>
    <row r="78" spans="1:14" x14ac:dyDescent="0.3">
      <c r="A78" s="9" t="s">
        <v>118</v>
      </c>
      <c r="B78" s="2" t="s">
        <v>119</v>
      </c>
      <c r="C78" s="2">
        <v>1339</v>
      </c>
      <c r="D78" s="2">
        <v>388</v>
      </c>
      <c r="E78" s="2">
        <v>4</v>
      </c>
      <c r="F78" s="2">
        <v>127</v>
      </c>
      <c r="G78" s="2">
        <v>22</v>
      </c>
      <c r="H78" s="2">
        <f t="shared" si="2"/>
        <v>0.28976848394324123</v>
      </c>
      <c r="I78" t="s">
        <v>59</v>
      </c>
      <c r="J78" t="s">
        <v>99</v>
      </c>
      <c r="K78">
        <v>8.42</v>
      </c>
      <c r="L78">
        <f t="shared" si="3"/>
        <v>2.105</v>
      </c>
      <c r="N78" t="s">
        <v>439</v>
      </c>
    </row>
    <row r="79" spans="1:14" x14ac:dyDescent="0.3">
      <c r="A79" s="9" t="s">
        <v>120</v>
      </c>
      <c r="B79" s="2" t="s">
        <v>121</v>
      </c>
      <c r="C79" s="2">
        <v>1856</v>
      </c>
      <c r="D79" s="2">
        <v>654</v>
      </c>
      <c r="E79" s="2">
        <v>6</v>
      </c>
      <c r="F79" s="2">
        <v>161</v>
      </c>
      <c r="G79" s="2">
        <v>35</v>
      </c>
      <c r="H79" s="2">
        <f t="shared" si="2"/>
        <v>0.35237068965517243</v>
      </c>
      <c r="I79" t="s">
        <v>59</v>
      </c>
      <c r="J79" t="s">
        <v>99</v>
      </c>
      <c r="K79">
        <v>13.02</v>
      </c>
      <c r="L79">
        <f t="shared" si="3"/>
        <v>2.17</v>
      </c>
      <c r="N79" t="s">
        <v>439</v>
      </c>
    </row>
    <row r="80" spans="1:14" x14ac:dyDescent="0.3">
      <c r="A80" s="9" t="s">
        <v>122</v>
      </c>
      <c r="B80" s="2" t="s">
        <v>123</v>
      </c>
      <c r="C80" s="2">
        <v>958</v>
      </c>
      <c r="D80" s="2">
        <v>254</v>
      </c>
      <c r="E80" s="2">
        <v>3</v>
      </c>
      <c r="F80" s="2">
        <v>113</v>
      </c>
      <c r="G80" s="2">
        <v>15</v>
      </c>
      <c r="H80" s="2">
        <f t="shared" si="2"/>
        <v>0.26513569937369519</v>
      </c>
      <c r="I80" t="s">
        <v>59</v>
      </c>
      <c r="J80" t="s">
        <v>99</v>
      </c>
      <c r="K80">
        <v>7.05</v>
      </c>
      <c r="L80">
        <f t="shared" si="3"/>
        <v>2.35</v>
      </c>
      <c r="N80" t="s">
        <v>439</v>
      </c>
    </row>
    <row r="81" spans="1:14" x14ac:dyDescent="0.3">
      <c r="A81" s="9" t="s">
        <v>124</v>
      </c>
      <c r="B81" s="2" t="s">
        <v>125</v>
      </c>
      <c r="C81" s="2">
        <v>1075</v>
      </c>
      <c r="D81" s="2">
        <v>326</v>
      </c>
      <c r="E81" s="2">
        <v>4</v>
      </c>
      <c r="F81" s="2">
        <v>97</v>
      </c>
      <c r="G81" s="2">
        <v>19</v>
      </c>
      <c r="H81" s="2">
        <f t="shared" si="2"/>
        <v>0.30325581395348838</v>
      </c>
      <c r="I81" t="s">
        <v>59</v>
      </c>
      <c r="J81" t="s">
        <v>99</v>
      </c>
      <c r="K81">
        <v>7.65</v>
      </c>
      <c r="L81">
        <f t="shared" si="3"/>
        <v>1.9125000000000001</v>
      </c>
      <c r="N81" t="s">
        <v>439</v>
      </c>
    </row>
    <row r="82" spans="1:14" x14ac:dyDescent="0.3">
      <c r="A82" s="9" t="s">
        <v>126</v>
      </c>
      <c r="B82" s="2" t="s">
        <v>127</v>
      </c>
      <c r="C82" s="2">
        <v>988</v>
      </c>
      <c r="D82" s="2">
        <v>348</v>
      </c>
      <c r="E82" s="2">
        <v>3</v>
      </c>
      <c r="F82" s="2">
        <v>105</v>
      </c>
      <c r="G82" s="2">
        <v>18</v>
      </c>
      <c r="H82" s="2">
        <f t="shared" si="2"/>
        <v>0.35222672064777327</v>
      </c>
      <c r="I82" t="s">
        <v>59</v>
      </c>
      <c r="J82" t="s">
        <v>99</v>
      </c>
      <c r="K82">
        <v>6.87</v>
      </c>
      <c r="L82">
        <f t="shared" si="3"/>
        <v>2.29</v>
      </c>
      <c r="N82" t="s">
        <v>439</v>
      </c>
    </row>
    <row r="83" spans="1:14" x14ac:dyDescent="0.3">
      <c r="A83" s="9" t="s">
        <v>128</v>
      </c>
      <c r="B83" s="2" t="s">
        <v>129</v>
      </c>
      <c r="C83" s="2">
        <v>1305</v>
      </c>
      <c r="D83" s="2">
        <v>482</v>
      </c>
      <c r="E83" s="2">
        <v>4</v>
      </c>
      <c r="F83" s="2">
        <v>142</v>
      </c>
      <c r="G83" s="2">
        <v>25</v>
      </c>
      <c r="H83" s="2">
        <f t="shared" si="2"/>
        <v>0.3693486590038314</v>
      </c>
      <c r="I83" t="s">
        <v>59</v>
      </c>
      <c r="J83" t="s">
        <v>99</v>
      </c>
      <c r="K83">
        <v>8.43</v>
      </c>
      <c r="L83">
        <f t="shared" si="3"/>
        <v>2.1074999999999999</v>
      </c>
      <c r="N83" t="s">
        <v>439</v>
      </c>
    </row>
    <row r="84" spans="1:14" x14ac:dyDescent="0.3">
      <c r="A84" s="9" t="s">
        <v>130</v>
      </c>
      <c r="B84" s="2" t="s">
        <v>131</v>
      </c>
      <c r="C84" s="2">
        <v>1337</v>
      </c>
      <c r="D84" s="2">
        <v>346</v>
      </c>
      <c r="E84" s="2">
        <v>5</v>
      </c>
      <c r="F84" s="2">
        <v>147</v>
      </c>
      <c r="G84" s="2">
        <v>20</v>
      </c>
      <c r="H84" s="2">
        <f t="shared" si="2"/>
        <v>0.25878833208676139</v>
      </c>
      <c r="I84" t="s">
        <v>59</v>
      </c>
      <c r="J84" t="s">
        <v>99</v>
      </c>
      <c r="K84">
        <v>9.75</v>
      </c>
      <c r="L84">
        <f t="shared" si="3"/>
        <v>1.95</v>
      </c>
      <c r="N84" t="s">
        <v>439</v>
      </c>
    </row>
    <row r="85" spans="1:14" x14ac:dyDescent="0.3">
      <c r="A85" s="9" t="s">
        <v>132</v>
      </c>
      <c r="B85" s="2" t="s">
        <v>133</v>
      </c>
      <c r="C85" s="2">
        <v>1189</v>
      </c>
      <c r="D85" s="2">
        <v>337</v>
      </c>
      <c r="E85" s="2">
        <v>4</v>
      </c>
      <c r="F85" s="2">
        <v>96</v>
      </c>
      <c r="G85" s="2">
        <v>20</v>
      </c>
      <c r="H85" s="2">
        <f t="shared" si="2"/>
        <v>0.28343145500420519</v>
      </c>
      <c r="I85" t="s">
        <v>59</v>
      </c>
      <c r="J85" t="s">
        <v>99</v>
      </c>
      <c r="K85">
        <v>8.93</v>
      </c>
      <c r="L85">
        <f t="shared" si="3"/>
        <v>2.2324999999999999</v>
      </c>
      <c r="N85" t="s">
        <v>439</v>
      </c>
    </row>
    <row r="86" spans="1:14" x14ac:dyDescent="0.3">
      <c r="A86" s="9" t="s">
        <v>134</v>
      </c>
      <c r="B86" s="2" t="s">
        <v>135</v>
      </c>
      <c r="C86" s="2">
        <v>2112</v>
      </c>
      <c r="D86" s="2">
        <v>543</v>
      </c>
      <c r="E86" s="2">
        <v>7</v>
      </c>
      <c r="F86" s="2">
        <v>209</v>
      </c>
      <c r="G86" s="2">
        <v>34</v>
      </c>
      <c r="H86" s="2">
        <f t="shared" si="2"/>
        <v>0.25710227272727271</v>
      </c>
      <c r="I86" t="s">
        <v>59</v>
      </c>
      <c r="J86" t="s">
        <v>99</v>
      </c>
      <c r="K86">
        <v>12.35</v>
      </c>
      <c r="L86">
        <f t="shared" si="3"/>
        <v>1.7642857142857142</v>
      </c>
      <c r="N86" t="s">
        <v>439</v>
      </c>
    </row>
    <row r="87" spans="1:14" x14ac:dyDescent="0.3">
      <c r="A87" s="9" t="s">
        <v>136</v>
      </c>
      <c r="B87" s="2" t="s">
        <v>137</v>
      </c>
      <c r="C87" s="2">
        <v>1708</v>
      </c>
      <c r="D87" s="2">
        <v>385</v>
      </c>
      <c r="E87" s="2">
        <v>5</v>
      </c>
      <c r="F87" s="2">
        <v>101</v>
      </c>
      <c r="G87" s="2">
        <v>24</v>
      </c>
      <c r="H87" s="2">
        <f t="shared" si="2"/>
        <v>0.22540983606557377</v>
      </c>
      <c r="I87" t="s">
        <v>59</v>
      </c>
      <c r="J87" t="s">
        <v>99</v>
      </c>
      <c r="K87">
        <v>10.4</v>
      </c>
      <c r="L87">
        <f t="shared" si="3"/>
        <v>2.08</v>
      </c>
      <c r="N87" t="s">
        <v>439</v>
      </c>
    </row>
    <row r="88" spans="1:14" x14ac:dyDescent="0.3">
      <c r="A88" s="9" t="s">
        <v>138</v>
      </c>
      <c r="B88" s="2" t="s">
        <v>139</v>
      </c>
      <c r="C88" s="2">
        <v>1901</v>
      </c>
      <c r="D88" s="2">
        <v>567</v>
      </c>
      <c r="E88" s="2">
        <v>6</v>
      </c>
      <c r="F88" s="2">
        <v>181</v>
      </c>
      <c r="G88" s="2">
        <v>28</v>
      </c>
      <c r="H88" s="2">
        <f t="shared" si="2"/>
        <v>0.29826407154129403</v>
      </c>
      <c r="I88" t="s">
        <v>59</v>
      </c>
      <c r="J88" t="s">
        <v>99</v>
      </c>
      <c r="K88">
        <v>12.05</v>
      </c>
      <c r="L88">
        <f t="shared" si="3"/>
        <v>2.0083333333333333</v>
      </c>
      <c r="N88" t="s">
        <v>439</v>
      </c>
    </row>
    <row r="89" spans="1:14" x14ac:dyDescent="0.3">
      <c r="A89" s="9" t="s">
        <v>140</v>
      </c>
      <c r="B89" s="2" t="s">
        <v>141</v>
      </c>
      <c r="C89" s="2">
        <v>1097</v>
      </c>
      <c r="D89" s="2">
        <v>328</v>
      </c>
      <c r="E89" s="2">
        <v>4</v>
      </c>
      <c r="F89" s="2">
        <v>147</v>
      </c>
      <c r="G89" s="2">
        <v>19</v>
      </c>
      <c r="H89" s="2">
        <f t="shared" si="2"/>
        <v>0.29899726526891524</v>
      </c>
      <c r="I89" t="s">
        <v>59</v>
      </c>
      <c r="J89" t="s">
        <v>99</v>
      </c>
      <c r="K89">
        <v>6.37</v>
      </c>
      <c r="L89">
        <f t="shared" si="3"/>
        <v>1.5925</v>
      </c>
      <c r="N89" t="s">
        <v>439</v>
      </c>
    </row>
    <row r="90" spans="1:14" x14ac:dyDescent="0.3">
      <c r="A90" s="9" t="s">
        <v>142</v>
      </c>
      <c r="B90" s="2" t="s">
        <v>143</v>
      </c>
      <c r="C90" s="2">
        <v>1396</v>
      </c>
      <c r="D90" s="2">
        <v>417</v>
      </c>
      <c r="E90" s="2">
        <v>4</v>
      </c>
      <c r="F90" s="2">
        <v>141</v>
      </c>
      <c r="G90" s="2">
        <v>24</v>
      </c>
      <c r="H90" s="2">
        <f t="shared" si="2"/>
        <v>0.29871060171919772</v>
      </c>
      <c r="I90" t="s">
        <v>59</v>
      </c>
      <c r="J90" t="s">
        <v>99</v>
      </c>
      <c r="K90">
        <v>9.0500000000000007</v>
      </c>
      <c r="L90">
        <f t="shared" si="3"/>
        <v>2.2625000000000002</v>
      </c>
      <c r="N90" t="s">
        <v>439</v>
      </c>
    </row>
    <row r="91" spans="1:14" x14ac:dyDescent="0.3">
      <c r="A91" s="9" t="s">
        <v>144</v>
      </c>
      <c r="B91" s="2" t="s">
        <v>127</v>
      </c>
      <c r="C91" s="2">
        <v>1116</v>
      </c>
      <c r="D91" s="2">
        <v>356</v>
      </c>
      <c r="E91" s="2">
        <v>4</v>
      </c>
      <c r="F91" s="2">
        <v>107</v>
      </c>
      <c r="G91" s="2">
        <v>18</v>
      </c>
      <c r="H91" s="2">
        <f t="shared" si="2"/>
        <v>0.31899641577060933</v>
      </c>
      <c r="I91" t="s">
        <v>59</v>
      </c>
      <c r="J91" t="s">
        <v>99</v>
      </c>
      <c r="K91">
        <v>6.87</v>
      </c>
      <c r="L91">
        <f t="shared" si="3"/>
        <v>1.7175</v>
      </c>
      <c r="N91" t="s">
        <v>439</v>
      </c>
    </row>
    <row r="92" spans="1:14" x14ac:dyDescent="0.3">
      <c r="A92" s="9" t="s">
        <v>145</v>
      </c>
      <c r="B92" s="2" t="s">
        <v>146</v>
      </c>
      <c r="C92" s="2">
        <v>1296</v>
      </c>
      <c r="D92" s="2">
        <v>323</v>
      </c>
      <c r="E92" s="2">
        <v>4</v>
      </c>
      <c r="F92" s="2">
        <v>123</v>
      </c>
      <c r="G92" s="2">
        <v>22</v>
      </c>
      <c r="H92" s="2">
        <f t="shared" si="2"/>
        <v>0.24922839506172839</v>
      </c>
      <c r="I92" t="s">
        <v>59</v>
      </c>
      <c r="J92" t="s">
        <v>99</v>
      </c>
      <c r="K92">
        <v>8.73</v>
      </c>
      <c r="L92">
        <f t="shared" si="3"/>
        <v>2.1825000000000001</v>
      </c>
      <c r="N92" t="s">
        <v>439</v>
      </c>
    </row>
    <row r="93" spans="1:14" x14ac:dyDescent="0.3">
      <c r="A93" s="9" t="s">
        <v>147</v>
      </c>
      <c r="B93" s="2" t="s">
        <v>148</v>
      </c>
      <c r="C93" s="2">
        <v>1256</v>
      </c>
      <c r="D93" s="2">
        <v>362</v>
      </c>
      <c r="E93" s="2">
        <v>4</v>
      </c>
      <c r="F93" s="2">
        <v>140</v>
      </c>
      <c r="G93" s="2">
        <v>18</v>
      </c>
      <c r="H93" s="2">
        <f t="shared" si="2"/>
        <v>0.28821656050955413</v>
      </c>
      <c r="I93" t="s">
        <v>59</v>
      </c>
      <c r="J93" t="s">
        <v>99</v>
      </c>
      <c r="K93">
        <v>8.85</v>
      </c>
      <c r="L93">
        <f t="shared" si="3"/>
        <v>2.2124999999999999</v>
      </c>
      <c r="N93" t="s">
        <v>439</v>
      </c>
    </row>
    <row r="94" spans="1:14" x14ac:dyDescent="0.3">
      <c r="A94" s="9" t="s">
        <v>149</v>
      </c>
      <c r="B94" s="2" t="s">
        <v>133</v>
      </c>
      <c r="C94" s="2">
        <v>1325</v>
      </c>
      <c r="D94" s="2">
        <v>391</v>
      </c>
      <c r="E94" s="2">
        <v>4</v>
      </c>
      <c r="F94" s="2">
        <v>133</v>
      </c>
      <c r="G94" s="2">
        <v>22</v>
      </c>
      <c r="H94" s="2">
        <f t="shared" si="2"/>
        <v>0.29509433962264153</v>
      </c>
      <c r="I94" t="s">
        <v>59</v>
      </c>
      <c r="J94" t="s">
        <v>99</v>
      </c>
      <c r="K94">
        <v>8.93</v>
      </c>
      <c r="L94">
        <f t="shared" si="3"/>
        <v>2.2324999999999999</v>
      </c>
      <c r="N94" t="s">
        <v>439</v>
      </c>
    </row>
    <row r="95" spans="1:14" x14ac:dyDescent="0.3">
      <c r="A95" s="9" t="s">
        <v>150</v>
      </c>
      <c r="B95" s="2" t="s">
        <v>151</v>
      </c>
      <c r="C95" s="2">
        <v>18860</v>
      </c>
      <c r="D95" s="2">
        <v>6302</v>
      </c>
      <c r="E95" s="2">
        <v>58</v>
      </c>
      <c r="F95" s="2">
        <v>2110</v>
      </c>
      <c r="G95" s="2">
        <v>379</v>
      </c>
      <c r="H95" s="2">
        <f t="shared" si="2"/>
        <v>0.33414634146341465</v>
      </c>
      <c r="I95" t="s">
        <v>23</v>
      </c>
      <c r="J95" t="s">
        <v>152</v>
      </c>
      <c r="K95">
        <v>119.05</v>
      </c>
      <c r="L95">
        <f t="shared" si="3"/>
        <v>2.0525862068965517</v>
      </c>
      <c r="N95" t="s">
        <v>412</v>
      </c>
    </row>
    <row r="96" spans="1:14" x14ac:dyDescent="0.3">
      <c r="A96" s="9" t="s">
        <v>153</v>
      </c>
      <c r="B96" s="2" t="s">
        <v>154</v>
      </c>
      <c r="C96" s="2">
        <v>12319</v>
      </c>
      <c r="D96" s="2">
        <v>3581</v>
      </c>
      <c r="E96" s="2">
        <v>37</v>
      </c>
      <c r="F96" s="2">
        <v>1058</v>
      </c>
      <c r="G96" s="2">
        <v>200</v>
      </c>
      <c r="H96" s="2">
        <f t="shared" si="2"/>
        <v>0.29068917931650295</v>
      </c>
      <c r="I96" t="s">
        <v>23</v>
      </c>
      <c r="J96" t="s">
        <v>152</v>
      </c>
      <c r="K96">
        <v>75.58</v>
      </c>
      <c r="L96">
        <f t="shared" si="3"/>
        <v>2.0427027027027025</v>
      </c>
      <c r="N96" t="s">
        <v>412</v>
      </c>
    </row>
    <row r="97" spans="1:14" x14ac:dyDescent="0.3">
      <c r="A97" s="9" t="s">
        <v>155</v>
      </c>
      <c r="B97" s="2" t="s">
        <v>156</v>
      </c>
      <c r="C97" s="2">
        <v>12034</v>
      </c>
      <c r="D97" s="2">
        <v>3737</v>
      </c>
      <c r="E97" s="2">
        <v>36</v>
      </c>
      <c r="F97" s="2">
        <v>1053</v>
      </c>
      <c r="G97" s="2">
        <v>212</v>
      </c>
      <c r="H97" s="2">
        <f t="shared" si="2"/>
        <v>0.31053681236496594</v>
      </c>
      <c r="I97" t="s">
        <v>23</v>
      </c>
      <c r="J97" t="s">
        <v>152</v>
      </c>
      <c r="K97">
        <v>70.22</v>
      </c>
      <c r="L97">
        <f t="shared" si="3"/>
        <v>1.9505555555555556</v>
      </c>
      <c r="N97" t="s">
        <v>412</v>
      </c>
    </row>
    <row r="98" spans="1:14" x14ac:dyDescent="0.3">
      <c r="A98" s="9" t="s">
        <v>157</v>
      </c>
      <c r="B98" s="2" t="s">
        <v>158</v>
      </c>
      <c r="C98" s="2">
        <v>12252</v>
      </c>
      <c r="D98" s="2">
        <v>3535</v>
      </c>
      <c r="E98" s="2">
        <v>36</v>
      </c>
      <c r="F98" s="2">
        <v>1189</v>
      </c>
      <c r="G98" s="2">
        <v>186</v>
      </c>
      <c r="H98" s="2">
        <f t="shared" si="2"/>
        <v>0.2885243225595821</v>
      </c>
      <c r="I98" t="s">
        <v>23</v>
      </c>
      <c r="J98" t="s">
        <v>152</v>
      </c>
      <c r="K98">
        <v>73.13</v>
      </c>
      <c r="L98">
        <f t="shared" si="3"/>
        <v>2.0313888888888889</v>
      </c>
      <c r="N98" t="s">
        <v>412</v>
      </c>
    </row>
    <row r="99" spans="1:14" x14ac:dyDescent="0.3">
      <c r="A99" s="9" t="s">
        <v>159</v>
      </c>
      <c r="B99" s="2" t="s">
        <v>160</v>
      </c>
      <c r="C99" s="2">
        <v>11000</v>
      </c>
      <c r="D99" s="2">
        <v>3561</v>
      </c>
      <c r="E99" s="2">
        <v>34</v>
      </c>
      <c r="F99" s="2">
        <v>963</v>
      </c>
      <c r="G99" s="2">
        <v>185</v>
      </c>
      <c r="H99" s="2">
        <f t="shared" si="2"/>
        <v>0.32372727272727275</v>
      </c>
      <c r="I99" t="s">
        <v>23</v>
      </c>
      <c r="J99" t="s">
        <v>152</v>
      </c>
      <c r="K99">
        <v>68.47</v>
      </c>
      <c r="L99">
        <f t="shared" si="3"/>
        <v>2.0138235294117646</v>
      </c>
      <c r="N99" t="s">
        <v>412</v>
      </c>
    </row>
    <row r="100" spans="1:14" x14ac:dyDescent="0.3">
      <c r="A100" s="9" t="s">
        <v>161</v>
      </c>
      <c r="B100" s="2" t="s">
        <v>162</v>
      </c>
      <c r="C100" s="2">
        <v>18351</v>
      </c>
      <c r="D100" s="2">
        <v>5098</v>
      </c>
      <c r="E100" s="2">
        <v>54</v>
      </c>
      <c r="F100" s="2">
        <v>1854</v>
      </c>
      <c r="G100" s="2">
        <v>280</v>
      </c>
      <c r="H100" s="2">
        <f t="shared" si="2"/>
        <v>0.27780502424935971</v>
      </c>
      <c r="I100" t="s">
        <v>23</v>
      </c>
      <c r="J100" t="s">
        <v>152</v>
      </c>
      <c r="K100">
        <v>104.17</v>
      </c>
      <c r="L100">
        <f t="shared" si="3"/>
        <v>1.9290740740740742</v>
      </c>
      <c r="N100" t="s">
        <v>412</v>
      </c>
    </row>
    <row r="101" spans="1:14" x14ac:dyDescent="0.3">
      <c r="A101" s="9" t="s">
        <v>163</v>
      </c>
      <c r="B101" s="2" t="s">
        <v>164</v>
      </c>
      <c r="C101" s="2">
        <v>11651</v>
      </c>
      <c r="D101" s="2">
        <v>3590</v>
      </c>
      <c r="E101" s="2">
        <v>35</v>
      </c>
      <c r="F101" s="2">
        <v>1117</v>
      </c>
      <c r="G101" s="2">
        <v>203</v>
      </c>
      <c r="H101" s="2">
        <f t="shared" si="2"/>
        <v>0.3081280576774526</v>
      </c>
      <c r="I101" t="s">
        <v>23</v>
      </c>
      <c r="J101" t="s">
        <v>152</v>
      </c>
      <c r="K101">
        <v>60.37</v>
      </c>
      <c r="L101">
        <f t="shared" si="3"/>
        <v>1.7248571428571429</v>
      </c>
      <c r="N101" t="s">
        <v>412</v>
      </c>
    </row>
    <row r="102" spans="1:14" x14ac:dyDescent="0.3">
      <c r="A102" s="9" t="s">
        <v>165</v>
      </c>
      <c r="B102" s="2" t="s">
        <v>166</v>
      </c>
      <c r="C102" s="2">
        <v>15202</v>
      </c>
      <c r="D102" s="2">
        <v>4507</v>
      </c>
      <c r="E102" s="2">
        <v>45</v>
      </c>
      <c r="F102" s="2">
        <v>1616</v>
      </c>
      <c r="G102" s="2">
        <v>243</v>
      </c>
      <c r="H102" s="2">
        <f t="shared" si="2"/>
        <v>0.29647414813840284</v>
      </c>
      <c r="I102" t="s">
        <v>23</v>
      </c>
      <c r="J102" t="s">
        <v>152</v>
      </c>
      <c r="K102">
        <v>83.82</v>
      </c>
      <c r="L102">
        <f t="shared" si="3"/>
        <v>1.8626666666666665</v>
      </c>
      <c r="N102" t="s">
        <v>412</v>
      </c>
    </row>
    <row r="103" spans="1:14" x14ac:dyDescent="0.3">
      <c r="A103" s="9" t="s">
        <v>167</v>
      </c>
      <c r="B103" s="2" t="s">
        <v>168</v>
      </c>
      <c r="C103" s="2">
        <v>10487</v>
      </c>
      <c r="D103" s="2">
        <v>2599</v>
      </c>
      <c r="E103" s="2">
        <v>32</v>
      </c>
      <c r="F103" s="2">
        <v>888</v>
      </c>
      <c r="G103" s="2">
        <v>161</v>
      </c>
      <c r="H103" s="2">
        <f t="shared" si="2"/>
        <v>0.24783064746829409</v>
      </c>
      <c r="I103" t="s">
        <v>23</v>
      </c>
      <c r="J103" t="s">
        <v>152</v>
      </c>
      <c r="K103">
        <v>60.72</v>
      </c>
      <c r="L103">
        <f t="shared" si="3"/>
        <v>1.8975</v>
      </c>
      <c r="N103" t="s">
        <v>412</v>
      </c>
    </row>
    <row r="104" spans="1:14" x14ac:dyDescent="0.3">
      <c r="A104" s="9" t="s">
        <v>169</v>
      </c>
      <c r="B104" s="2" t="s">
        <v>170</v>
      </c>
      <c r="C104" s="2">
        <v>10576</v>
      </c>
      <c r="D104" s="2">
        <v>3492</v>
      </c>
      <c r="E104" s="2">
        <v>32</v>
      </c>
      <c r="F104" s="2">
        <v>891</v>
      </c>
      <c r="G104" s="2">
        <v>203</v>
      </c>
      <c r="H104" s="2">
        <f t="shared" si="2"/>
        <v>0.33018154311649017</v>
      </c>
      <c r="I104" t="s">
        <v>23</v>
      </c>
      <c r="J104" t="s">
        <v>152</v>
      </c>
      <c r="K104">
        <v>61.33</v>
      </c>
      <c r="L104">
        <f t="shared" si="3"/>
        <v>1.9165624999999999</v>
      </c>
      <c r="N104" t="s">
        <v>412</v>
      </c>
    </row>
    <row r="105" spans="1:14" x14ac:dyDescent="0.3">
      <c r="A105" s="9" t="s">
        <v>171</v>
      </c>
      <c r="B105" s="2" t="s">
        <v>172</v>
      </c>
      <c r="C105" s="2">
        <v>10346</v>
      </c>
      <c r="D105" s="2">
        <v>2960</v>
      </c>
      <c r="E105" s="2">
        <v>32</v>
      </c>
      <c r="F105" s="2">
        <v>850</v>
      </c>
      <c r="G105" s="2">
        <v>156</v>
      </c>
      <c r="H105" s="2">
        <f t="shared" si="2"/>
        <v>0.28610090856369613</v>
      </c>
      <c r="I105" t="s">
        <v>23</v>
      </c>
      <c r="J105" t="s">
        <v>152</v>
      </c>
      <c r="K105">
        <v>60.08</v>
      </c>
      <c r="L105">
        <f t="shared" si="3"/>
        <v>1.8774999999999999</v>
      </c>
      <c r="N105" t="s">
        <v>412</v>
      </c>
    </row>
    <row r="106" spans="1:14" x14ac:dyDescent="0.3">
      <c r="A106" s="9" t="s">
        <v>173</v>
      </c>
      <c r="B106" s="2" t="s">
        <v>174</v>
      </c>
      <c r="C106" s="2">
        <v>16215</v>
      </c>
      <c r="D106" s="2">
        <v>4339</v>
      </c>
      <c r="E106" s="2">
        <v>51</v>
      </c>
      <c r="F106" s="2">
        <v>1636</v>
      </c>
      <c r="G106" s="2">
        <v>258</v>
      </c>
      <c r="H106" s="2">
        <f t="shared" si="2"/>
        <v>0.2675917360468702</v>
      </c>
      <c r="I106" t="s">
        <v>23</v>
      </c>
      <c r="J106" t="s">
        <v>152</v>
      </c>
      <c r="K106">
        <v>98.77</v>
      </c>
      <c r="L106">
        <f t="shared" si="3"/>
        <v>1.9366666666666665</v>
      </c>
      <c r="N106" t="s">
        <v>412</v>
      </c>
    </row>
    <row r="107" spans="1:14" x14ac:dyDescent="0.3">
      <c r="A107" s="9" t="s">
        <v>175</v>
      </c>
      <c r="B107" s="2" t="s">
        <v>176</v>
      </c>
      <c r="C107" s="2">
        <v>11454</v>
      </c>
      <c r="D107" s="2">
        <v>3449</v>
      </c>
      <c r="E107" s="2">
        <v>36</v>
      </c>
      <c r="F107" s="2">
        <v>1082</v>
      </c>
      <c r="G107" s="2">
        <v>178</v>
      </c>
      <c r="H107" s="2">
        <f t="shared" si="2"/>
        <v>0.30111751353239041</v>
      </c>
      <c r="I107" t="s">
        <v>23</v>
      </c>
      <c r="J107" t="s">
        <v>152</v>
      </c>
      <c r="K107">
        <v>71.95</v>
      </c>
      <c r="L107">
        <f t="shared" si="3"/>
        <v>1.9986111111111111</v>
      </c>
      <c r="N107" t="s">
        <v>412</v>
      </c>
    </row>
    <row r="108" spans="1:14" x14ac:dyDescent="0.3">
      <c r="A108" s="9" t="s">
        <v>177</v>
      </c>
      <c r="B108" s="2" t="s">
        <v>178</v>
      </c>
      <c r="C108" s="2">
        <v>9092</v>
      </c>
      <c r="D108" s="2">
        <v>2719</v>
      </c>
      <c r="E108" s="2">
        <v>29</v>
      </c>
      <c r="F108" s="2">
        <v>833</v>
      </c>
      <c r="G108" s="2">
        <v>156</v>
      </c>
      <c r="H108" s="2">
        <f t="shared" si="2"/>
        <v>0.29905411350637923</v>
      </c>
      <c r="I108" t="s">
        <v>23</v>
      </c>
      <c r="J108" t="s">
        <v>152</v>
      </c>
      <c r="K108">
        <v>52.18</v>
      </c>
      <c r="L108">
        <f t="shared" si="3"/>
        <v>1.7993103448275862</v>
      </c>
      <c r="N108" t="s">
        <v>412</v>
      </c>
    </row>
    <row r="109" spans="1:14" x14ac:dyDescent="0.3">
      <c r="A109" s="9" t="s">
        <v>179</v>
      </c>
      <c r="B109" s="2" t="s">
        <v>180</v>
      </c>
      <c r="C109" s="2">
        <v>12033</v>
      </c>
      <c r="D109" s="2">
        <v>2908</v>
      </c>
      <c r="E109" s="2">
        <v>39</v>
      </c>
      <c r="F109" s="2">
        <v>1231</v>
      </c>
      <c r="G109" s="2">
        <v>172</v>
      </c>
      <c r="H109" s="2">
        <f t="shared" si="2"/>
        <v>0.24166874428654533</v>
      </c>
      <c r="I109" t="s">
        <v>23</v>
      </c>
      <c r="J109" t="s">
        <v>152</v>
      </c>
      <c r="K109">
        <v>71.47</v>
      </c>
      <c r="L109">
        <f t="shared" si="3"/>
        <v>1.8325641025641026</v>
      </c>
      <c r="N109" t="s">
        <v>412</v>
      </c>
    </row>
    <row r="110" spans="1:14" x14ac:dyDescent="0.3">
      <c r="A110" s="9" t="s">
        <v>181</v>
      </c>
      <c r="B110" s="2" t="s">
        <v>182</v>
      </c>
      <c r="C110" s="2">
        <v>10331</v>
      </c>
      <c r="D110" s="2">
        <v>2762</v>
      </c>
      <c r="E110" s="2">
        <v>33</v>
      </c>
      <c r="F110" s="2">
        <v>897</v>
      </c>
      <c r="G110" s="2">
        <v>164</v>
      </c>
      <c r="H110" s="2">
        <f t="shared" si="2"/>
        <v>0.26735069209176265</v>
      </c>
      <c r="I110" t="s">
        <v>23</v>
      </c>
      <c r="J110" t="s">
        <v>152</v>
      </c>
      <c r="K110">
        <v>60.03</v>
      </c>
      <c r="L110">
        <f t="shared" si="3"/>
        <v>1.8190909090909091</v>
      </c>
      <c r="N110" t="s">
        <v>412</v>
      </c>
    </row>
    <row r="111" spans="1:14" x14ac:dyDescent="0.3">
      <c r="A111" s="9" t="s">
        <v>183</v>
      </c>
      <c r="B111" s="2" t="s">
        <v>184</v>
      </c>
      <c r="C111" s="2">
        <v>10081</v>
      </c>
      <c r="D111" s="2">
        <v>2750</v>
      </c>
      <c r="E111" s="2">
        <v>31</v>
      </c>
      <c r="F111" s="2">
        <v>1026</v>
      </c>
      <c r="G111" s="2">
        <v>154</v>
      </c>
      <c r="H111" s="2">
        <f t="shared" si="2"/>
        <v>0.27279039777799824</v>
      </c>
      <c r="I111" t="s">
        <v>23</v>
      </c>
      <c r="J111" t="s">
        <v>152</v>
      </c>
      <c r="K111">
        <v>58.75</v>
      </c>
      <c r="L111">
        <f t="shared" si="3"/>
        <v>1.8951612903225807</v>
      </c>
      <c r="N111" t="s">
        <v>412</v>
      </c>
    </row>
    <row r="112" spans="1:14" x14ac:dyDescent="0.3">
      <c r="A112" s="9" t="s">
        <v>185</v>
      </c>
      <c r="B112" s="2" t="s">
        <v>186</v>
      </c>
      <c r="C112" s="2">
        <v>14759</v>
      </c>
      <c r="D112" s="2">
        <v>3898</v>
      </c>
      <c r="E112" s="2">
        <v>46</v>
      </c>
      <c r="F112" s="2">
        <v>1434</v>
      </c>
      <c r="G112" s="2">
        <v>236</v>
      </c>
      <c r="H112" s="2">
        <f t="shared" si="2"/>
        <v>0.26411003455518667</v>
      </c>
      <c r="I112" t="s">
        <v>23</v>
      </c>
      <c r="J112" t="s">
        <v>152</v>
      </c>
      <c r="K112">
        <v>78.8</v>
      </c>
      <c r="L112">
        <f t="shared" si="3"/>
        <v>1.7130434782608694</v>
      </c>
      <c r="N112" t="s">
        <v>412</v>
      </c>
    </row>
    <row r="113" spans="1:14" x14ac:dyDescent="0.3">
      <c r="A113" s="9" t="s">
        <v>187</v>
      </c>
      <c r="B113" s="2" t="s">
        <v>188</v>
      </c>
      <c r="C113" s="2">
        <v>282</v>
      </c>
      <c r="D113" s="2">
        <v>92</v>
      </c>
      <c r="E113" s="2">
        <v>1</v>
      </c>
      <c r="F113" s="2">
        <v>16</v>
      </c>
      <c r="G113" s="2">
        <v>4</v>
      </c>
      <c r="H113" s="2">
        <f t="shared" si="2"/>
        <v>0.32624113475177308</v>
      </c>
      <c r="I113" t="s">
        <v>34</v>
      </c>
      <c r="J113" t="s">
        <v>189</v>
      </c>
      <c r="K113">
        <v>2.2799999999999998</v>
      </c>
      <c r="L113">
        <f t="shared" si="3"/>
        <v>2.2799999999999998</v>
      </c>
      <c r="N113" t="s">
        <v>436</v>
      </c>
    </row>
    <row r="114" spans="1:14" x14ac:dyDescent="0.3">
      <c r="A114" s="9" t="s">
        <v>190</v>
      </c>
      <c r="B114" s="2" t="s">
        <v>191</v>
      </c>
      <c r="C114" s="2">
        <v>13021</v>
      </c>
      <c r="D114" s="2">
        <v>3414</v>
      </c>
      <c r="E114" s="2">
        <v>37</v>
      </c>
      <c r="F114" s="2">
        <v>1037</v>
      </c>
      <c r="G114" s="2">
        <v>187</v>
      </c>
      <c r="H114" s="2">
        <f t="shared" si="2"/>
        <v>0.26219184394439748</v>
      </c>
      <c r="I114" t="s">
        <v>34</v>
      </c>
      <c r="J114" t="s">
        <v>189</v>
      </c>
      <c r="K114">
        <v>87.32</v>
      </c>
      <c r="L114">
        <f t="shared" si="3"/>
        <v>2.36</v>
      </c>
      <c r="N114" t="s">
        <v>436</v>
      </c>
    </row>
    <row r="115" spans="1:14" x14ac:dyDescent="0.3">
      <c r="A115" s="9" t="s">
        <v>192</v>
      </c>
      <c r="B115" s="2" t="s">
        <v>193</v>
      </c>
      <c r="C115" s="2">
        <v>7253</v>
      </c>
      <c r="D115" s="2">
        <v>1788</v>
      </c>
      <c r="E115" s="2">
        <v>22</v>
      </c>
      <c r="F115" s="2">
        <v>631</v>
      </c>
      <c r="G115" s="2">
        <v>103</v>
      </c>
      <c r="H115" s="2">
        <f t="shared" si="2"/>
        <v>0.24651868192472082</v>
      </c>
      <c r="I115" t="s">
        <v>34</v>
      </c>
      <c r="J115" t="s">
        <v>189</v>
      </c>
      <c r="K115">
        <v>50.38</v>
      </c>
      <c r="L115">
        <f t="shared" si="3"/>
        <v>2.29</v>
      </c>
      <c r="N115" t="s">
        <v>436</v>
      </c>
    </row>
    <row r="116" spans="1:14" x14ac:dyDescent="0.3">
      <c r="A116" s="9" t="s">
        <v>194</v>
      </c>
      <c r="B116" s="2" t="s">
        <v>195</v>
      </c>
      <c r="C116" s="2">
        <v>11179</v>
      </c>
      <c r="D116" s="2">
        <v>2674</v>
      </c>
      <c r="E116" s="2">
        <v>34</v>
      </c>
      <c r="F116" s="2">
        <v>1047</v>
      </c>
      <c r="G116" s="2">
        <v>172</v>
      </c>
      <c r="H116" s="2">
        <f t="shared" si="2"/>
        <v>0.23919849718221667</v>
      </c>
      <c r="I116" t="s">
        <v>34</v>
      </c>
      <c r="J116" t="s">
        <v>189</v>
      </c>
      <c r="K116">
        <v>70.23</v>
      </c>
      <c r="L116">
        <f t="shared" si="3"/>
        <v>2.0655882352941179</v>
      </c>
      <c r="N116" t="s">
        <v>436</v>
      </c>
    </row>
    <row r="117" spans="1:14" x14ac:dyDescent="0.3">
      <c r="A117" s="9" t="s">
        <v>196</v>
      </c>
      <c r="B117" s="2" t="s">
        <v>197</v>
      </c>
      <c r="C117" s="2">
        <v>7337</v>
      </c>
      <c r="D117" s="2">
        <v>2074</v>
      </c>
      <c r="E117" s="2">
        <v>22</v>
      </c>
      <c r="F117" s="2">
        <v>836</v>
      </c>
      <c r="G117" s="2">
        <v>124</v>
      </c>
      <c r="H117" s="2">
        <f t="shared" si="2"/>
        <v>0.28267684339648358</v>
      </c>
      <c r="I117" t="s">
        <v>34</v>
      </c>
      <c r="J117" t="s">
        <v>189</v>
      </c>
      <c r="K117">
        <v>49.53</v>
      </c>
      <c r="L117">
        <f t="shared" si="3"/>
        <v>2.2513636363636365</v>
      </c>
      <c r="N117" t="s">
        <v>436</v>
      </c>
    </row>
    <row r="118" spans="1:14" x14ac:dyDescent="0.3">
      <c r="A118" s="9" t="s">
        <v>198</v>
      </c>
      <c r="B118" s="2" t="s">
        <v>199</v>
      </c>
      <c r="C118" s="2">
        <v>12108</v>
      </c>
      <c r="D118" s="2">
        <v>3047</v>
      </c>
      <c r="E118" s="2">
        <v>34</v>
      </c>
      <c r="F118" s="2">
        <v>1121</v>
      </c>
      <c r="G118" s="2">
        <v>169</v>
      </c>
      <c r="H118" s="2">
        <f t="shared" si="2"/>
        <v>0.25165180046250413</v>
      </c>
      <c r="I118" t="s">
        <v>34</v>
      </c>
      <c r="J118" t="s">
        <v>189</v>
      </c>
      <c r="K118">
        <v>70.05</v>
      </c>
      <c r="L118">
        <f t="shared" si="3"/>
        <v>2.0602941176470586</v>
      </c>
      <c r="N118" t="s">
        <v>436</v>
      </c>
    </row>
    <row r="119" spans="1:14" x14ac:dyDescent="0.3">
      <c r="A119" s="9" t="s">
        <v>200</v>
      </c>
      <c r="B119" s="2" t="s">
        <v>201</v>
      </c>
      <c r="C119" s="2">
        <v>11563</v>
      </c>
      <c r="D119" s="2">
        <v>2831</v>
      </c>
      <c r="E119" s="2">
        <v>33</v>
      </c>
      <c r="F119" s="2">
        <v>1015</v>
      </c>
      <c r="G119" s="2">
        <v>156</v>
      </c>
      <c r="H119" s="2">
        <f t="shared" si="2"/>
        <v>0.24483265588515091</v>
      </c>
      <c r="I119" t="s">
        <v>34</v>
      </c>
      <c r="J119" t="s">
        <v>189</v>
      </c>
      <c r="K119">
        <v>70.45</v>
      </c>
      <c r="L119">
        <f t="shared" si="3"/>
        <v>2.1348484848484848</v>
      </c>
      <c r="N119" t="s">
        <v>436</v>
      </c>
    </row>
    <row r="120" spans="1:14" x14ac:dyDescent="0.3">
      <c r="A120" s="9" t="s">
        <v>202</v>
      </c>
      <c r="B120" s="2" t="s">
        <v>203</v>
      </c>
      <c r="C120" s="2">
        <v>8088</v>
      </c>
      <c r="D120" s="2">
        <v>2191</v>
      </c>
      <c r="E120" s="2">
        <v>24</v>
      </c>
      <c r="F120" s="2">
        <v>653</v>
      </c>
      <c r="G120" s="2">
        <v>122</v>
      </c>
      <c r="H120" s="2">
        <f t="shared" si="2"/>
        <v>0.27089515331355096</v>
      </c>
      <c r="I120" t="s">
        <v>34</v>
      </c>
      <c r="J120" t="s">
        <v>189</v>
      </c>
      <c r="K120">
        <v>52.98</v>
      </c>
      <c r="L120">
        <f t="shared" si="3"/>
        <v>2.2075</v>
      </c>
      <c r="N120" t="s">
        <v>436</v>
      </c>
    </row>
    <row r="121" spans="1:14" x14ac:dyDescent="0.3">
      <c r="A121" s="9" t="s">
        <v>204</v>
      </c>
      <c r="B121" s="2" t="s">
        <v>205</v>
      </c>
      <c r="C121" s="2">
        <v>9789</v>
      </c>
      <c r="D121" s="2">
        <v>2397</v>
      </c>
      <c r="E121" s="2">
        <v>29</v>
      </c>
      <c r="F121" s="2">
        <v>1113</v>
      </c>
      <c r="G121" s="2">
        <v>148</v>
      </c>
      <c r="H121" s="2">
        <f t="shared" si="2"/>
        <v>0.2448666870977628</v>
      </c>
      <c r="I121" t="s">
        <v>34</v>
      </c>
      <c r="J121" t="s">
        <v>189</v>
      </c>
      <c r="K121">
        <v>64.150000000000006</v>
      </c>
      <c r="L121">
        <f t="shared" si="3"/>
        <v>2.2120689655172416</v>
      </c>
      <c r="N121" t="s">
        <v>436</v>
      </c>
    </row>
    <row r="122" spans="1:14" x14ac:dyDescent="0.3">
      <c r="A122" s="9" t="s">
        <v>206</v>
      </c>
      <c r="B122" s="2" t="s">
        <v>207</v>
      </c>
      <c r="C122" s="2">
        <v>14677</v>
      </c>
      <c r="D122" s="2">
        <v>4015</v>
      </c>
      <c r="E122" s="2">
        <v>42</v>
      </c>
      <c r="F122" s="2">
        <v>1282</v>
      </c>
      <c r="G122" s="2">
        <v>233</v>
      </c>
      <c r="H122" s="2">
        <f t="shared" si="2"/>
        <v>0.27355726647134976</v>
      </c>
      <c r="I122" t="s">
        <v>34</v>
      </c>
      <c r="J122" t="s">
        <v>189</v>
      </c>
      <c r="K122">
        <v>89.9</v>
      </c>
      <c r="L122">
        <f t="shared" si="3"/>
        <v>2.1404761904761904</v>
      </c>
      <c r="N122" t="s">
        <v>436</v>
      </c>
    </row>
    <row r="123" spans="1:14" x14ac:dyDescent="0.3">
      <c r="A123" s="9" t="s">
        <v>208</v>
      </c>
      <c r="B123" s="2" t="s">
        <v>209</v>
      </c>
      <c r="C123" s="2">
        <v>10571</v>
      </c>
      <c r="D123" s="2">
        <v>2635</v>
      </c>
      <c r="E123" s="2">
        <v>30</v>
      </c>
      <c r="F123" s="2">
        <v>960</v>
      </c>
      <c r="G123" s="2">
        <v>140</v>
      </c>
      <c r="H123" s="2">
        <f t="shared" si="2"/>
        <v>0.24926686217008798</v>
      </c>
      <c r="I123" t="s">
        <v>34</v>
      </c>
      <c r="J123" t="s">
        <v>189</v>
      </c>
      <c r="K123">
        <v>63.78</v>
      </c>
      <c r="L123">
        <f t="shared" si="3"/>
        <v>2.1259999999999999</v>
      </c>
      <c r="N123" t="s">
        <v>436</v>
      </c>
    </row>
    <row r="124" spans="1:14" x14ac:dyDescent="0.3">
      <c r="A124" s="9" t="s">
        <v>210</v>
      </c>
      <c r="B124" s="2" t="s">
        <v>211</v>
      </c>
      <c r="C124" s="2">
        <v>11338</v>
      </c>
      <c r="D124" s="2">
        <v>2709</v>
      </c>
      <c r="E124" s="2">
        <v>31</v>
      </c>
      <c r="F124" s="2">
        <v>924</v>
      </c>
      <c r="G124" s="2">
        <v>150</v>
      </c>
      <c r="H124" s="2">
        <f t="shared" si="2"/>
        <v>0.23893102840007055</v>
      </c>
      <c r="I124" t="s">
        <v>34</v>
      </c>
      <c r="J124" t="s">
        <v>189</v>
      </c>
      <c r="K124">
        <v>69.22</v>
      </c>
      <c r="L124">
        <f t="shared" si="3"/>
        <v>2.2329032258064516</v>
      </c>
      <c r="N124" t="s">
        <v>436</v>
      </c>
    </row>
    <row r="125" spans="1:14" x14ac:dyDescent="0.3">
      <c r="A125" s="9" t="s">
        <v>212</v>
      </c>
      <c r="B125" s="2" t="s">
        <v>213</v>
      </c>
      <c r="C125" s="2">
        <v>7869</v>
      </c>
      <c r="D125" s="2">
        <v>1843</v>
      </c>
      <c r="E125" s="2">
        <v>22</v>
      </c>
      <c r="F125" s="2">
        <v>700</v>
      </c>
      <c r="G125" s="2">
        <v>100</v>
      </c>
      <c r="H125" s="2">
        <f t="shared" si="2"/>
        <v>0.23421019189223535</v>
      </c>
      <c r="I125" t="s">
        <v>34</v>
      </c>
      <c r="J125" t="s">
        <v>189</v>
      </c>
      <c r="K125">
        <v>50.27</v>
      </c>
      <c r="L125">
        <f t="shared" si="3"/>
        <v>2.2850000000000001</v>
      </c>
      <c r="N125" t="s">
        <v>436</v>
      </c>
    </row>
    <row r="126" spans="1:14" x14ac:dyDescent="0.3">
      <c r="A126" s="9" t="s">
        <v>214</v>
      </c>
      <c r="B126" s="2" t="s">
        <v>215</v>
      </c>
      <c r="C126" s="2">
        <v>4976</v>
      </c>
      <c r="D126" s="2">
        <v>1384</v>
      </c>
      <c r="E126" s="2">
        <v>15</v>
      </c>
      <c r="F126" s="2">
        <v>401</v>
      </c>
      <c r="G126" s="2">
        <v>73</v>
      </c>
      <c r="H126" s="2">
        <f t="shared" ref="H126:H189" si="4">D126/C126</f>
        <v>0.27813504823151125</v>
      </c>
      <c r="I126" t="s">
        <v>34</v>
      </c>
      <c r="J126" t="s">
        <v>189</v>
      </c>
      <c r="K126">
        <v>33.049999999999997</v>
      </c>
      <c r="L126">
        <f t="shared" si="3"/>
        <v>2.2033333333333331</v>
      </c>
      <c r="N126" t="s">
        <v>436</v>
      </c>
    </row>
    <row r="127" spans="1:14" x14ac:dyDescent="0.3">
      <c r="A127" s="9" t="s">
        <v>216</v>
      </c>
      <c r="B127" s="2" t="s">
        <v>217</v>
      </c>
      <c r="C127" s="2">
        <v>11242</v>
      </c>
      <c r="D127" s="2">
        <v>2934</v>
      </c>
      <c r="E127" s="2">
        <v>32</v>
      </c>
      <c r="F127" s="2">
        <v>946</v>
      </c>
      <c r="G127" s="2">
        <v>151</v>
      </c>
      <c r="H127" s="2">
        <f t="shared" si="4"/>
        <v>0.26098558975271302</v>
      </c>
      <c r="I127" t="s">
        <v>34</v>
      </c>
      <c r="J127" t="s">
        <v>189</v>
      </c>
      <c r="K127">
        <v>77.5</v>
      </c>
      <c r="L127">
        <f t="shared" si="3"/>
        <v>2.421875</v>
      </c>
      <c r="N127" t="s">
        <v>436</v>
      </c>
    </row>
    <row r="128" spans="1:14" x14ac:dyDescent="0.3">
      <c r="A128" s="9" t="s">
        <v>218</v>
      </c>
      <c r="B128" s="2" t="s">
        <v>219</v>
      </c>
      <c r="C128" s="2">
        <v>8909</v>
      </c>
      <c r="D128" s="2">
        <v>2269</v>
      </c>
      <c r="E128" s="2">
        <v>26</v>
      </c>
      <c r="F128" s="2">
        <v>780</v>
      </c>
      <c r="G128" s="2">
        <v>130</v>
      </c>
      <c r="H128" s="2">
        <f t="shared" si="4"/>
        <v>0.25468627230890112</v>
      </c>
      <c r="I128" t="s">
        <v>34</v>
      </c>
      <c r="J128" t="s">
        <v>189</v>
      </c>
      <c r="K128">
        <v>55.03</v>
      </c>
      <c r="L128">
        <f t="shared" si="3"/>
        <v>2.1165384615384615</v>
      </c>
      <c r="N128" t="s">
        <v>436</v>
      </c>
    </row>
    <row r="129" spans="1:14" x14ac:dyDescent="0.3">
      <c r="A129" s="9" t="s">
        <v>220</v>
      </c>
      <c r="B129" s="2" t="s">
        <v>221</v>
      </c>
      <c r="C129" s="2">
        <v>14384</v>
      </c>
      <c r="D129" s="2">
        <v>3627</v>
      </c>
      <c r="E129" s="2">
        <v>41</v>
      </c>
      <c r="F129" s="2">
        <v>1529</v>
      </c>
      <c r="G129" s="2">
        <v>195</v>
      </c>
      <c r="H129" s="2">
        <f t="shared" si="4"/>
        <v>0.25215517241379309</v>
      </c>
      <c r="I129" t="s">
        <v>34</v>
      </c>
      <c r="J129" t="s">
        <v>189</v>
      </c>
      <c r="K129">
        <v>91.45</v>
      </c>
      <c r="L129">
        <f t="shared" si="3"/>
        <v>2.2304878048780488</v>
      </c>
      <c r="N129" t="s">
        <v>436</v>
      </c>
    </row>
    <row r="130" spans="1:14" x14ac:dyDescent="0.3">
      <c r="A130" s="9" t="s">
        <v>222</v>
      </c>
      <c r="B130" s="2" t="s">
        <v>223</v>
      </c>
      <c r="C130" s="2">
        <v>11516</v>
      </c>
      <c r="D130" s="2">
        <v>2745</v>
      </c>
      <c r="E130" s="2">
        <v>33</v>
      </c>
      <c r="F130" s="2">
        <v>1042</v>
      </c>
      <c r="G130" s="2">
        <v>156</v>
      </c>
      <c r="H130" s="2">
        <f t="shared" si="4"/>
        <v>0.2383640152830844</v>
      </c>
      <c r="I130" t="s">
        <v>34</v>
      </c>
      <c r="J130" t="s">
        <v>189</v>
      </c>
      <c r="K130">
        <v>72.069999999999993</v>
      </c>
      <c r="L130">
        <f t="shared" si="3"/>
        <v>2.1839393939393936</v>
      </c>
      <c r="N130" t="s">
        <v>436</v>
      </c>
    </row>
    <row r="131" spans="1:14" x14ac:dyDescent="0.3">
      <c r="A131" s="9" t="s">
        <v>224</v>
      </c>
      <c r="B131" s="2" t="s">
        <v>225</v>
      </c>
      <c r="C131" s="2">
        <v>13226</v>
      </c>
      <c r="D131" s="2">
        <v>3308</v>
      </c>
      <c r="E131" s="2">
        <v>38</v>
      </c>
      <c r="F131" s="2">
        <v>1132</v>
      </c>
      <c r="G131" s="2">
        <v>185</v>
      </c>
      <c r="H131" s="2">
        <f t="shared" si="4"/>
        <v>0.25011341297444428</v>
      </c>
      <c r="I131" t="s">
        <v>34</v>
      </c>
      <c r="J131" t="s">
        <v>189</v>
      </c>
      <c r="K131">
        <v>85.28</v>
      </c>
      <c r="L131">
        <f t="shared" ref="L131:L194" si="5">K131/E131</f>
        <v>2.2442105263157894</v>
      </c>
      <c r="N131" t="s">
        <v>436</v>
      </c>
    </row>
    <row r="132" spans="1:14" x14ac:dyDescent="0.3">
      <c r="A132" s="9" t="s">
        <v>226</v>
      </c>
      <c r="B132" s="2" t="s">
        <v>227</v>
      </c>
      <c r="C132" s="2">
        <v>10196</v>
      </c>
      <c r="D132" s="2">
        <v>2570</v>
      </c>
      <c r="E132" s="2">
        <v>30</v>
      </c>
      <c r="F132" s="2">
        <v>972</v>
      </c>
      <c r="G132" s="2">
        <v>146</v>
      </c>
      <c r="H132" s="2">
        <f t="shared" si="4"/>
        <v>0.25205963122793251</v>
      </c>
      <c r="I132" t="s">
        <v>34</v>
      </c>
      <c r="J132" t="s">
        <v>189</v>
      </c>
      <c r="K132">
        <v>65.099999999999994</v>
      </c>
      <c r="L132">
        <f t="shared" si="5"/>
        <v>2.17</v>
      </c>
      <c r="N132" t="s">
        <v>436</v>
      </c>
    </row>
    <row r="133" spans="1:14" x14ac:dyDescent="0.3">
      <c r="A133" s="9" t="s">
        <v>228</v>
      </c>
      <c r="B133" s="2" t="s">
        <v>229</v>
      </c>
      <c r="C133" s="2">
        <v>417</v>
      </c>
      <c r="D133" s="2">
        <v>133</v>
      </c>
      <c r="E133" s="2">
        <v>2</v>
      </c>
      <c r="F133" s="2">
        <v>31</v>
      </c>
      <c r="G133" s="2">
        <v>7</v>
      </c>
      <c r="H133" s="2">
        <f t="shared" si="4"/>
        <v>0.31894484412470026</v>
      </c>
      <c r="I133" t="s">
        <v>11</v>
      </c>
      <c r="J133" t="s">
        <v>230</v>
      </c>
      <c r="K133">
        <v>3.08</v>
      </c>
      <c r="L133">
        <f t="shared" si="5"/>
        <v>1.54</v>
      </c>
      <c r="N133" t="s">
        <v>402</v>
      </c>
    </row>
    <row r="134" spans="1:14" x14ac:dyDescent="0.3">
      <c r="A134" s="9" t="s">
        <v>231</v>
      </c>
      <c r="B134" s="2" t="s">
        <v>232</v>
      </c>
      <c r="C134" s="2">
        <v>14748</v>
      </c>
      <c r="D134" s="2">
        <v>4154</v>
      </c>
      <c r="E134" s="2">
        <v>43</v>
      </c>
      <c r="F134" s="2">
        <v>1535</v>
      </c>
      <c r="G134" s="2">
        <v>222</v>
      </c>
      <c r="H134" s="2">
        <f t="shared" si="4"/>
        <v>0.28166531055058314</v>
      </c>
      <c r="I134" t="s">
        <v>11</v>
      </c>
      <c r="J134" t="s">
        <v>230</v>
      </c>
      <c r="K134">
        <v>103.77</v>
      </c>
      <c r="L134">
        <f t="shared" si="5"/>
        <v>2.4132558139534881</v>
      </c>
      <c r="N134" t="s">
        <v>402</v>
      </c>
    </row>
    <row r="135" spans="1:14" x14ac:dyDescent="0.3">
      <c r="A135" s="9" t="s">
        <v>233</v>
      </c>
      <c r="B135" s="2" t="s">
        <v>234</v>
      </c>
      <c r="C135" s="2">
        <v>14982</v>
      </c>
      <c r="D135" s="2">
        <v>4080</v>
      </c>
      <c r="E135" s="2">
        <v>44</v>
      </c>
      <c r="F135" s="2">
        <v>1696</v>
      </c>
      <c r="G135" s="2">
        <v>226</v>
      </c>
      <c r="H135" s="2">
        <f t="shared" si="4"/>
        <v>0.2723267921505807</v>
      </c>
      <c r="I135" t="s">
        <v>11</v>
      </c>
      <c r="J135" t="s">
        <v>230</v>
      </c>
      <c r="K135">
        <v>102.8</v>
      </c>
      <c r="L135">
        <f t="shared" si="5"/>
        <v>2.3363636363636364</v>
      </c>
      <c r="N135" t="s">
        <v>402</v>
      </c>
    </row>
    <row r="136" spans="1:14" x14ac:dyDescent="0.3">
      <c r="A136" s="9" t="s">
        <v>235</v>
      </c>
      <c r="B136" s="2" t="s">
        <v>236</v>
      </c>
      <c r="C136" s="2">
        <v>12113</v>
      </c>
      <c r="D136" s="2">
        <v>3146</v>
      </c>
      <c r="E136" s="2">
        <v>35</v>
      </c>
      <c r="F136" s="2">
        <v>1252</v>
      </c>
      <c r="G136" s="2">
        <v>166</v>
      </c>
      <c r="H136" s="2">
        <f t="shared" si="4"/>
        <v>0.25972096095104436</v>
      </c>
      <c r="I136" t="s">
        <v>11</v>
      </c>
      <c r="J136" t="s">
        <v>230</v>
      </c>
      <c r="K136">
        <v>82.62</v>
      </c>
      <c r="L136">
        <f t="shared" si="5"/>
        <v>2.3605714285714288</v>
      </c>
      <c r="N136" t="s">
        <v>402</v>
      </c>
    </row>
    <row r="137" spans="1:14" x14ac:dyDescent="0.3">
      <c r="A137" s="9" t="s">
        <v>237</v>
      </c>
      <c r="B137" s="2" t="s">
        <v>238</v>
      </c>
      <c r="C137" s="2">
        <v>7626</v>
      </c>
      <c r="D137" s="2">
        <v>2332</v>
      </c>
      <c r="E137" s="2">
        <v>23</v>
      </c>
      <c r="F137" s="2">
        <v>823</v>
      </c>
      <c r="G137" s="2">
        <v>119</v>
      </c>
      <c r="H137" s="2">
        <f t="shared" si="4"/>
        <v>0.3057959611854183</v>
      </c>
      <c r="I137" t="s">
        <v>11</v>
      </c>
      <c r="J137" t="s">
        <v>230</v>
      </c>
      <c r="K137">
        <v>53.17</v>
      </c>
      <c r="L137">
        <f t="shared" si="5"/>
        <v>2.3117391304347827</v>
      </c>
      <c r="N137" t="s">
        <v>402</v>
      </c>
    </row>
    <row r="138" spans="1:14" x14ac:dyDescent="0.3">
      <c r="A138" s="9" t="s">
        <v>239</v>
      </c>
      <c r="B138" s="2" t="s">
        <v>240</v>
      </c>
      <c r="C138" s="2">
        <v>12225</v>
      </c>
      <c r="D138" s="2">
        <v>3670</v>
      </c>
      <c r="E138" s="2">
        <v>36</v>
      </c>
      <c r="F138" s="2">
        <v>1400</v>
      </c>
      <c r="G138" s="2">
        <v>209</v>
      </c>
      <c r="H138" s="2">
        <f t="shared" si="4"/>
        <v>0.30020449897750512</v>
      </c>
      <c r="I138" t="s">
        <v>11</v>
      </c>
      <c r="J138" t="s">
        <v>230</v>
      </c>
      <c r="K138">
        <v>86.08</v>
      </c>
      <c r="L138">
        <f t="shared" si="5"/>
        <v>2.391111111111111</v>
      </c>
      <c r="N138" t="s">
        <v>402</v>
      </c>
    </row>
    <row r="139" spans="1:14" x14ac:dyDescent="0.3">
      <c r="A139" s="9" t="s">
        <v>241</v>
      </c>
      <c r="B139" s="2" t="s">
        <v>242</v>
      </c>
      <c r="C139" s="2">
        <v>9323</v>
      </c>
      <c r="D139" s="2">
        <v>2660</v>
      </c>
      <c r="E139" s="2">
        <v>28</v>
      </c>
      <c r="F139" s="2">
        <v>1020</v>
      </c>
      <c r="G139" s="2">
        <v>142</v>
      </c>
      <c r="H139" s="2">
        <f t="shared" si="4"/>
        <v>0.2853158854445994</v>
      </c>
      <c r="I139" t="s">
        <v>11</v>
      </c>
      <c r="J139" t="s">
        <v>230</v>
      </c>
      <c r="K139">
        <v>65.75</v>
      </c>
      <c r="L139">
        <f t="shared" si="5"/>
        <v>2.3482142857142856</v>
      </c>
      <c r="N139" t="s">
        <v>402</v>
      </c>
    </row>
    <row r="140" spans="1:14" x14ac:dyDescent="0.3">
      <c r="A140" s="9" t="s">
        <v>243</v>
      </c>
      <c r="B140" s="2" t="s">
        <v>244</v>
      </c>
      <c r="C140" s="2">
        <v>9172</v>
      </c>
      <c r="D140" s="2">
        <v>2730</v>
      </c>
      <c r="E140" s="2">
        <v>29</v>
      </c>
      <c r="F140" s="2">
        <v>1155</v>
      </c>
      <c r="G140" s="2">
        <v>155</v>
      </c>
      <c r="H140" s="2">
        <f t="shared" si="4"/>
        <v>0.29764500654164849</v>
      </c>
      <c r="I140" t="s">
        <v>11</v>
      </c>
      <c r="J140" t="s">
        <v>230</v>
      </c>
      <c r="K140">
        <v>65.069999999999993</v>
      </c>
      <c r="L140">
        <f t="shared" si="5"/>
        <v>2.2437931034482754</v>
      </c>
      <c r="N140" t="s">
        <v>402</v>
      </c>
    </row>
    <row r="141" spans="1:14" x14ac:dyDescent="0.3">
      <c r="A141" s="9" t="s">
        <v>245</v>
      </c>
      <c r="B141" s="2" t="s">
        <v>246</v>
      </c>
      <c r="C141" s="2">
        <v>6293</v>
      </c>
      <c r="D141" s="2">
        <v>1849</v>
      </c>
      <c r="E141" s="2">
        <v>19</v>
      </c>
      <c r="F141" s="2">
        <v>707</v>
      </c>
      <c r="G141" s="2">
        <v>101</v>
      </c>
      <c r="H141" s="2">
        <f t="shared" si="4"/>
        <v>0.29381852852375656</v>
      </c>
      <c r="I141" t="s">
        <v>11</v>
      </c>
      <c r="J141" t="s">
        <v>230</v>
      </c>
      <c r="K141">
        <v>43.35</v>
      </c>
      <c r="L141">
        <f t="shared" si="5"/>
        <v>2.2815789473684212</v>
      </c>
      <c r="N141" t="s">
        <v>402</v>
      </c>
    </row>
    <row r="142" spans="1:14" x14ac:dyDescent="0.3">
      <c r="A142" s="9" t="s">
        <v>247</v>
      </c>
      <c r="B142" s="2" t="s">
        <v>248</v>
      </c>
      <c r="C142" s="2">
        <v>15176</v>
      </c>
      <c r="D142" s="2">
        <v>3999</v>
      </c>
      <c r="E142" s="2">
        <v>44</v>
      </c>
      <c r="F142" s="2">
        <v>1746</v>
      </c>
      <c r="G142" s="2">
        <v>213</v>
      </c>
      <c r="H142" s="2">
        <f t="shared" si="4"/>
        <v>0.2635081707959937</v>
      </c>
      <c r="I142" t="s">
        <v>11</v>
      </c>
      <c r="J142" t="s">
        <v>230</v>
      </c>
      <c r="K142">
        <v>103.63</v>
      </c>
      <c r="L142">
        <f t="shared" si="5"/>
        <v>2.3552272727272725</v>
      </c>
      <c r="N142" t="s">
        <v>402</v>
      </c>
    </row>
    <row r="143" spans="1:14" x14ac:dyDescent="0.3">
      <c r="A143" s="9" t="s">
        <v>249</v>
      </c>
      <c r="B143" s="2" t="s">
        <v>250</v>
      </c>
      <c r="C143" s="2">
        <v>15779</v>
      </c>
      <c r="D143" s="2">
        <v>4279</v>
      </c>
      <c r="E143" s="2">
        <v>46</v>
      </c>
      <c r="F143" s="2">
        <v>1950</v>
      </c>
      <c r="G143" s="2">
        <v>237</v>
      </c>
      <c r="H143" s="2">
        <f t="shared" si="4"/>
        <v>0.27118321820140695</v>
      </c>
      <c r="I143" t="s">
        <v>11</v>
      </c>
      <c r="J143" t="s">
        <v>230</v>
      </c>
      <c r="K143">
        <v>106.85</v>
      </c>
      <c r="L143">
        <f t="shared" si="5"/>
        <v>2.3228260869565216</v>
      </c>
      <c r="N143" t="s">
        <v>402</v>
      </c>
    </row>
    <row r="144" spans="1:14" x14ac:dyDescent="0.3">
      <c r="A144" s="9" t="s">
        <v>251</v>
      </c>
      <c r="B144" s="2" t="s">
        <v>252</v>
      </c>
      <c r="C144" s="2">
        <v>15075</v>
      </c>
      <c r="D144" s="2">
        <v>4243</v>
      </c>
      <c r="E144" s="2">
        <v>43</v>
      </c>
      <c r="F144" s="2">
        <v>1837</v>
      </c>
      <c r="G144" s="2">
        <v>255</v>
      </c>
      <c r="H144" s="2">
        <f t="shared" si="4"/>
        <v>0.2814593698175788</v>
      </c>
      <c r="I144" t="s">
        <v>11</v>
      </c>
      <c r="J144" t="s">
        <v>230</v>
      </c>
      <c r="K144">
        <v>103.67</v>
      </c>
      <c r="L144">
        <f t="shared" si="5"/>
        <v>2.4109302325581394</v>
      </c>
      <c r="N144" t="s">
        <v>402</v>
      </c>
    </row>
    <row r="145" spans="1:14" x14ac:dyDescent="0.3">
      <c r="A145" s="9" t="s">
        <v>253</v>
      </c>
      <c r="B145" s="2" t="s">
        <v>254</v>
      </c>
      <c r="C145" s="2">
        <v>15011</v>
      </c>
      <c r="D145" s="2">
        <v>3916</v>
      </c>
      <c r="E145" s="2">
        <v>44</v>
      </c>
      <c r="F145" s="2">
        <v>1675</v>
      </c>
      <c r="G145" s="2">
        <v>219</v>
      </c>
      <c r="H145" s="2">
        <f t="shared" si="4"/>
        <v>0.26087535807074813</v>
      </c>
      <c r="I145" t="s">
        <v>11</v>
      </c>
      <c r="J145" t="s">
        <v>230</v>
      </c>
      <c r="K145">
        <v>99.02</v>
      </c>
      <c r="L145">
        <f t="shared" si="5"/>
        <v>2.2504545454545455</v>
      </c>
      <c r="N145" t="s">
        <v>402</v>
      </c>
    </row>
    <row r="146" spans="1:14" x14ac:dyDescent="0.3">
      <c r="A146" s="9" t="s">
        <v>255</v>
      </c>
      <c r="B146" s="2" t="s">
        <v>256</v>
      </c>
      <c r="C146" s="2">
        <v>17914</v>
      </c>
      <c r="D146" s="2">
        <v>4707</v>
      </c>
      <c r="E146" s="2">
        <v>52</v>
      </c>
      <c r="F146" s="2">
        <v>2184</v>
      </c>
      <c r="G146" s="2">
        <v>267</v>
      </c>
      <c r="H146" s="2">
        <f t="shared" si="4"/>
        <v>0.2627553868482751</v>
      </c>
      <c r="I146" t="s">
        <v>11</v>
      </c>
      <c r="J146" t="s">
        <v>230</v>
      </c>
      <c r="K146">
        <v>122.43</v>
      </c>
      <c r="L146">
        <f t="shared" si="5"/>
        <v>2.354423076923077</v>
      </c>
      <c r="N146" t="s">
        <v>402</v>
      </c>
    </row>
    <row r="147" spans="1:14" x14ac:dyDescent="0.3">
      <c r="A147" s="9" t="s">
        <v>257</v>
      </c>
      <c r="B147" s="2" t="s">
        <v>258</v>
      </c>
      <c r="C147" s="2">
        <v>15300</v>
      </c>
      <c r="D147" s="2">
        <v>4129</v>
      </c>
      <c r="E147" s="2">
        <v>45</v>
      </c>
      <c r="F147" s="2">
        <v>1804</v>
      </c>
      <c r="G147" s="2">
        <v>229</v>
      </c>
      <c r="H147" s="2">
        <f t="shared" si="4"/>
        <v>0.26986928104575164</v>
      </c>
      <c r="I147" t="s">
        <v>11</v>
      </c>
      <c r="J147" t="s">
        <v>230</v>
      </c>
      <c r="K147">
        <v>100.38</v>
      </c>
      <c r="L147">
        <f t="shared" si="5"/>
        <v>2.2306666666666666</v>
      </c>
      <c r="N147" t="s">
        <v>402</v>
      </c>
    </row>
    <row r="148" spans="1:14" x14ac:dyDescent="0.3">
      <c r="A148" s="9" t="s">
        <v>259</v>
      </c>
      <c r="B148" s="2" t="s">
        <v>260</v>
      </c>
      <c r="C148" s="2">
        <v>14531</v>
      </c>
      <c r="D148" s="2">
        <v>4035</v>
      </c>
      <c r="E148" s="2">
        <v>42</v>
      </c>
      <c r="F148" s="2">
        <v>1627</v>
      </c>
      <c r="G148" s="2">
        <v>226</v>
      </c>
      <c r="H148" s="2">
        <f t="shared" si="4"/>
        <v>0.27768219668295369</v>
      </c>
      <c r="I148" t="s">
        <v>11</v>
      </c>
      <c r="J148" t="s">
        <v>230</v>
      </c>
      <c r="K148">
        <v>102.62</v>
      </c>
      <c r="L148">
        <f t="shared" si="5"/>
        <v>2.4433333333333334</v>
      </c>
      <c r="N148" t="s">
        <v>402</v>
      </c>
    </row>
    <row r="149" spans="1:14" x14ac:dyDescent="0.3">
      <c r="A149" s="9" t="s">
        <v>261</v>
      </c>
      <c r="B149" s="2" t="s">
        <v>262</v>
      </c>
      <c r="C149" s="2">
        <v>687</v>
      </c>
      <c r="D149" s="2">
        <v>175</v>
      </c>
      <c r="E149" s="2">
        <v>2</v>
      </c>
      <c r="F149" s="2">
        <v>43</v>
      </c>
      <c r="G149" s="2">
        <v>9</v>
      </c>
      <c r="H149" s="2">
        <f t="shared" si="4"/>
        <v>0.25473071324599711</v>
      </c>
      <c r="I149" t="s">
        <v>11</v>
      </c>
      <c r="J149" t="s">
        <v>263</v>
      </c>
      <c r="K149">
        <v>4.1500000000000004</v>
      </c>
      <c r="L149">
        <f t="shared" si="5"/>
        <v>2.0750000000000002</v>
      </c>
      <c r="N149" t="s">
        <v>433</v>
      </c>
    </row>
    <row r="150" spans="1:14" x14ac:dyDescent="0.3">
      <c r="A150" s="9" t="s">
        <v>264</v>
      </c>
      <c r="B150" s="2" t="s">
        <v>265</v>
      </c>
      <c r="C150" s="2">
        <v>20901</v>
      </c>
      <c r="D150" s="2">
        <v>5678</v>
      </c>
      <c r="E150" s="2">
        <v>66</v>
      </c>
      <c r="F150" s="2">
        <v>1966</v>
      </c>
      <c r="G150" s="2">
        <v>313</v>
      </c>
      <c r="H150" s="2">
        <f t="shared" si="4"/>
        <v>0.2716616429835893</v>
      </c>
      <c r="I150" t="s">
        <v>11</v>
      </c>
      <c r="J150" t="s">
        <v>263</v>
      </c>
      <c r="K150">
        <v>170.02</v>
      </c>
      <c r="L150">
        <f t="shared" si="5"/>
        <v>2.5760606060606062</v>
      </c>
      <c r="N150" t="s">
        <v>433</v>
      </c>
    </row>
    <row r="151" spans="1:14" x14ac:dyDescent="0.3">
      <c r="A151" s="9" t="s">
        <v>266</v>
      </c>
      <c r="B151" s="2" t="s">
        <v>267</v>
      </c>
      <c r="C151" s="2">
        <v>15269</v>
      </c>
      <c r="D151" s="2">
        <v>4126</v>
      </c>
      <c r="E151" s="2">
        <v>47</v>
      </c>
      <c r="F151" s="2">
        <v>1615</v>
      </c>
      <c r="G151" s="2">
        <v>244</v>
      </c>
      <c r="H151" s="2">
        <f t="shared" si="4"/>
        <v>0.27022070862531927</v>
      </c>
      <c r="I151" t="s">
        <v>11</v>
      </c>
      <c r="J151" t="s">
        <v>263</v>
      </c>
      <c r="K151">
        <v>114.43</v>
      </c>
      <c r="L151">
        <f t="shared" si="5"/>
        <v>2.4346808510638298</v>
      </c>
      <c r="N151" t="s">
        <v>433</v>
      </c>
    </row>
    <row r="152" spans="1:14" x14ac:dyDescent="0.3">
      <c r="A152" s="9" t="s">
        <v>268</v>
      </c>
      <c r="B152" s="2" t="s">
        <v>269</v>
      </c>
      <c r="C152" s="2">
        <v>32864</v>
      </c>
      <c r="D152" s="2">
        <v>8684</v>
      </c>
      <c r="E152" s="2">
        <v>97</v>
      </c>
      <c r="F152" s="2">
        <v>3659</v>
      </c>
      <c r="G152" s="2">
        <v>460</v>
      </c>
      <c r="H152" s="2">
        <f t="shared" si="4"/>
        <v>0.26424050632911394</v>
      </c>
      <c r="I152" t="s">
        <v>11</v>
      </c>
      <c r="J152" t="s">
        <v>263</v>
      </c>
      <c r="K152">
        <v>232.62</v>
      </c>
      <c r="L152">
        <f t="shared" si="5"/>
        <v>2.3981443298969074</v>
      </c>
      <c r="N152" t="s">
        <v>433</v>
      </c>
    </row>
    <row r="153" spans="1:14" x14ac:dyDescent="0.3">
      <c r="A153" s="9" t="s">
        <v>270</v>
      </c>
      <c r="B153" s="2" t="s">
        <v>271</v>
      </c>
      <c r="C153" s="2">
        <v>15284</v>
      </c>
      <c r="D153" s="2">
        <v>4050</v>
      </c>
      <c r="E153" s="2">
        <v>45</v>
      </c>
      <c r="F153" s="2">
        <v>1785</v>
      </c>
      <c r="G153" s="2">
        <v>222</v>
      </c>
      <c r="H153" s="2">
        <f t="shared" si="4"/>
        <v>0.26498298874640147</v>
      </c>
      <c r="I153" t="s">
        <v>11</v>
      </c>
      <c r="J153" t="s">
        <v>263</v>
      </c>
      <c r="K153">
        <v>109.52</v>
      </c>
      <c r="L153">
        <f t="shared" si="5"/>
        <v>2.4337777777777778</v>
      </c>
      <c r="N153" t="s">
        <v>433</v>
      </c>
    </row>
    <row r="154" spans="1:14" x14ac:dyDescent="0.3">
      <c r="A154" s="9" t="s">
        <v>272</v>
      </c>
      <c r="B154" s="2" t="s">
        <v>273</v>
      </c>
      <c r="C154" s="2">
        <v>18726</v>
      </c>
      <c r="D154" s="2">
        <v>4976</v>
      </c>
      <c r="E154" s="2">
        <v>56</v>
      </c>
      <c r="F154" s="2">
        <v>2214</v>
      </c>
      <c r="G154" s="2">
        <v>262</v>
      </c>
      <c r="H154" s="2">
        <f t="shared" si="4"/>
        <v>0.26572679696678414</v>
      </c>
      <c r="I154" t="s">
        <v>11</v>
      </c>
      <c r="J154" t="s">
        <v>263</v>
      </c>
      <c r="K154">
        <v>136.87</v>
      </c>
      <c r="L154">
        <f t="shared" si="5"/>
        <v>2.4441071428571428</v>
      </c>
      <c r="N154" t="s">
        <v>433</v>
      </c>
    </row>
    <row r="155" spans="1:14" x14ac:dyDescent="0.3">
      <c r="A155" s="9" t="s">
        <v>274</v>
      </c>
      <c r="B155" s="2" t="s">
        <v>275</v>
      </c>
      <c r="C155" s="2">
        <v>21791</v>
      </c>
      <c r="D155" s="2">
        <v>5301</v>
      </c>
      <c r="E155" s="2">
        <v>66</v>
      </c>
      <c r="F155" s="2">
        <v>2294</v>
      </c>
      <c r="G155" s="2">
        <v>284</v>
      </c>
      <c r="H155" s="2">
        <f t="shared" si="4"/>
        <v>0.24326556835390759</v>
      </c>
      <c r="I155" t="s">
        <v>11</v>
      </c>
      <c r="J155" t="s">
        <v>263</v>
      </c>
      <c r="K155">
        <v>145.35</v>
      </c>
      <c r="L155">
        <f t="shared" si="5"/>
        <v>2.2022727272727272</v>
      </c>
      <c r="N155" t="s">
        <v>433</v>
      </c>
    </row>
    <row r="156" spans="1:14" x14ac:dyDescent="0.3">
      <c r="A156" s="9" t="s">
        <v>276</v>
      </c>
      <c r="B156" s="2" t="s">
        <v>277</v>
      </c>
      <c r="C156" s="2">
        <v>18664</v>
      </c>
      <c r="D156" s="2">
        <v>4581</v>
      </c>
      <c r="E156" s="2">
        <v>56</v>
      </c>
      <c r="F156" s="2">
        <v>1929</v>
      </c>
      <c r="G156" s="2">
        <v>250</v>
      </c>
      <c r="H156" s="2">
        <f t="shared" si="4"/>
        <v>0.24544577796828118</v>
      </c>
      <c r="I156" t="s">
        <v>11</v>
      </c>
      <c r="J156" t="s">
        <v>263</v>
      </c>
      <c r="K156">
        <v>126.98</v>
      </c>
      <c r="L156">
        <f t="shared" si="5"/>
        <v>2.2675000000000001</v>
      </c>
      <c r="N156" t="s">
        <v>433</v>
      </c>
    </row>
    <row r="157" spans="1:14" x14ac:dyDescent="0.3">
      <c r="A157" s="9" t="s">
        <v>278</v>
      </c>
      <c r="B157" s="2" t="s">
        <v>279</v>
      </c>
      <c r="C157" s="2">
        <v>16436</v>
      </c>
      <c r="D157" s="2">
        <v>4291</v>
      </c>
      <c r="E157" s="2">
        <v>49</v>
      </c>
      <c r="F157" s="2">
        <v>1578</v>
      </c>
      <c r="G157" s="2">
        <v>237</v>
      </c>
      <c r="H157" s="2">
        <f t="shared" si="4"/>
        <v>0.26107325383304941</v>
      </c>
      <c r="I157" t="s">
        <v>11</v>
      </c>
      <c r="J157" t="s">
        <v>263</v>
      </c>
      <c r="K157">
        <v>116.13</v>
      </c>
      <c r="L157">
        <f t="shared" si="5"/>
        <v>2.37</v>
      </c>
      <c r="N157" t="s">
        <v>433</v>
      </c>
    </row>
    <row r="158" spans="1:14" x14ac:dyDescent="0.3">
      <c r="A158" s="9" t="s">
        <v>280</v>
      </c>
      <c r="B158" s="2" t="s">
        <v>281</v>
      </c>
      <c r="C158" s="2">
        <v>25349</v>
      </c>
      <c r="D158" s="2">
        <v>6680</v>
      </c>
      <c r="E158" s="2">
        <v>77</v>
      </c>
      <c r="F158" s="2">
        <v>2788</v>
      </c>
      <c r="G158" s="2">
        <v>350</v>
      </c>
      <c r="H158" s="2">
        <f t="shared" si="4"/>
        <v>0.26352124344155586</v>
      </c>
      <c r="I158" t="s">
        <v>11</v>
      </c>
      <c r="J158" t="s">
        <v>263</v>
      </c>
      <c r="K158">
        <v>177.95</v>
      </c>
      <c r="L158">
        <f t="shared" si="5"/>
        <v>2.3110389610389608</v>
      </c>
      <c r="N158" t="s">
        <v>433</v>
      </c>
    </row>
    <row r="159" spans="1:14" x14ac:dyDescent="0.3">
      <c r="A159" s="9" t="s">
        <v>282</v>
      </c>
      <c r="B159" s="2" t="s">
        <v>283</v>
      </c>
      <c r="C159" s="2">
        <v>26202</v>
      </c>
      <c r="D159" s="2">
        <v>6665</v>
      </c>
      <c r="E159" s="2">
        <v>82</v>
      </c>
      <c r="F159" s="2">
        <v>2975</v>
      </c>
      <c r="G159" s="2">
        <v>370</v>
      </c>
      <c r="H159" s="2">
        <f t="shared" si="4"/>
        <v>0.25436989542782995</v>
      </c>
      <c r="I159" t="s">
        <v>11</v>
      </c>
      <c r="J159" t="s">
        <v>263</v>
      </c>
      <c r="K159">
        <v>181.23</v>
      </c>
      <c r="L159">
        <f t="shared" si="5"/>
        <v>2.210121951219512</v>
      </c>
      <c r="N159" t="s">
        <v>433</v>
      </c>
    </row>
    <row r="160" spans="1:14" x14ac:dyDescent="0.3">
      <c r="A160" s="9" t="s">
        <v>284</v>
      </c>
      <c r="B160" s="2" t="s">
        <v>285</v>
      </c>
      <c r="C160" s="2">
        <v>13403</v>
      </c>
      <c r="D160" s="2">
        <v>3530</v>
      </c>
      <c r="E160" s="2">
        <v>41</v>
      </c>
      <c r="F160" s="2">
        <v>1705</v>
      </c>
      <c r="G160" s="2">
        <v>208</v>
      </c>
      <c r="H160" s="2">
        <f t="shared" si="4"/>
        <v>0.26337387152130121</v>
      </c>
      <c r="I160" t="s">
        <v>11</v>
      </c>
      <c r="J160" t="s">
        <v>263</v>
      </c>
      <c r="K160">
        <v>86.98</v>
      </c>
      <c r="L160">
        <f t="shared" si="5"/>
        <v>2.1214634146341464</v>
      </c>
      <c r="N160" t="s">
        <v>433</v>
      </c>
    </row>
    <row r="161" spans="1:14" x14ac:dyDescent="0.3">
      <c r="A161" s="9" t="s">
        <v>286</v>
      </c>
      <c r="B161" s="2" t="s">
        <v>287</v>
      </c>
      <c r="C161" s="2">
        <v>22021</v>
      </c>
      <c r="D161" s="2">
        <v>5359</v>
      </c>
      <c r="E161" s="2">
        <v>66</v>
      </c>
      <c r="F161" s="2">
        <v>2855</v>
      </c>
      <c r="G161" s="2">
        <v>307</v>
      </c>
      <c r="H161" s="2">
        <f t="shared" si="4"/>
        <v>0.24335861223377686</v>
      </c>
      <c r="I161" t="s">
        <v>23</v>
      </c>
      <c r="J161" t="s">
        <v>288</v>
      </c>
      <c r="K161">
        <v>152.77000000000001</v>
      </c>
      <c r="L161">
        <f t="shared" si="5"/>
        <v>2.3146969696969699</v>
      </c>
      <c r="N161" t="s">
        <v>408</v>
      </c>
    </row>
    <row r="162" spans="1:14" x14ac:dyDescent="0.3">
      <c r="A162" s="9" t="s">
        <v>289</v>
      </c>
      <c r="B162" s="2" t="s">
        <v>290</v>
      </c>
      <c r="C162" s="2">
        <v>20977</v>
      </c>
      <c r="D162" s="2">
        <v>4656</v>
      </c>
      <c r="E162" s="2">
        <v>67</v>
      </c>
      <c r="F162" s="2">
        <v>3159</v>
      </c>
      <c r="G162" s="2">
        <v>283</v>
      </c>
      <c r="H162" s="2">
        <f t="shared" si="4"/>
        <v>0.22195738189445582</v>
      </c>
      <c r="I162" t="s">
        <v>23</v>
      </c>
      <c r="J162" t="s">
        <v>288</v>
      </c>
      <c r="K162">
        <v>116.25</v>
      </c>
      <c r="L162">
        <f t="shared" si="5"/>
        <v>1.7350746268656716</v>
      </c>
      <c r="N162" t="s">
        <v>408</v>
      </c>
    </row>
    <row r="163" spans="1:14" x14ac:dyDescent="0.3">
      <c r="A163" s="9" t="s">
        <v>291</v>
      </c>
      <c r="B163" s="2" t="s">
        <v>292</v>
      </c>
      <c r="C163" s="2">
        <v>13346</v>
      </c>
      <c r="D163" s="2">
        <v>2921</v>
      </c>
      <c r="E163" s="2">
        <v>43</v>
      </c>
      <c r="F163" s="2">
        <v>2153</v>
      </c>
      <c r="G163" s="2">
        <v>178</v>
      </c>
      <c r="H163" s="2">
        <f t="shared" si="4"/>
        <v>0.21886707627753635</v>
      </c>
      <c r="I163" t="s">
        <v>23</v>
      </c>
      <c r="J163" t="s">
        <v>288</v>
      </c>
      <c r="K163">
        <v>77.599999999999994</v>
      </c>
      <c r="L163">
        <f t="shared" si="5"/>
        <v>1.8046511627906976</v>
      </c>
      <c r="N163" t="s">
        <v>408</v>
      </c>
    </row>
    <row r="164" spans="1:14" x14ac:dyDescent="0.3">
      <c r="A164" s="9" t="s">
        <v>293</v>
      </c>
      <c r="B164" s="2" t="s">
        <v>294</v>
      </c>
      <c r="C164" s="2">
        <v>15376</v>
      </c>
      <c r="D164" s="2">
        <v>3468</v>
      </c>
      <c r="E164" s="2">
        <v>48</v>
      </c>
      <c r="F164" s="2">
        <v>2079</v>
      </c>
      <c r="G164" s="2">
        <v>217</v>
      </c>
      <c r="H164" s="2">
        <f t="shared" si="4"/>
        <v>0.22554630593132155</v>
      </c>
      <c r="I164" t="s">
        <v>23</v>
      </c>
      <c r="J164" t="s">
        <v>288</v>
      </c>
      <c r="K164">
        <v>87</v>
      </c>
      <c r="L164">
        <f t="shared" si="5"/>
        <v>1.8125</v>
      </c>
      <c r="N164" t="s">
        <v>408</v>
      </c>
    </row>
    <row r="165" spans="1:14" x14ac:dyDescent="0.3">
      <c r="A165" s="9" t="s">
        <v>295</v>
      </c>
      <c r="B165" s="2" t="s">
        <v>296</v>
      </c>
      <c r="C165" s="2">
        <v>12861</v>
      </c>
      <c r="D165" s="2">
        <v>3143</v>
      </c>
      <c r="E165" s="2">
        <v>40</v>
      </c>
      <c r="F165" s="2">
        <v>1814</v>
      </c>
      <c r="G165" s="2">
        <v>191</v>
      </c>
      <c r="H165" s="2">
        <f t="shared" si="4"/>
        <v>0.24438224088329058</v>
      </c>
      <c r="I165" t="s">
        <v>23</v>
      </c>
      <c r="J165" t="s">
        <v>288</v>
      </c>
      <c r="K165">
        <v>77.62</v>
      </c>
      <c r="L165">
        <f t="shared" si="5"/>
        <v>1.9405000000000001</v>
      </c>
      <c r="N165" t="s">
        <v>408</v>
      </c>
    </row>
    <row r="166" spans="1:14" x14ac:dyDescent="0.3">
      <c r="A166" s="9" t="s">
        <v>297</v>
      </c>
      <c r="B166" s="2" t="s">
        <v>298</v>
      </c>
      <c r="C166" s="2">
        <v>18564</v>
      </c>
      <c r="D166" s="2">
        <v>3774</v>
      </c>
      <c r="E166" s="2">
        <v>59</v>
      </c>
      <c r="F166" s="2">
        <v>2427</v>
      </c>
      <c r="G166" s="2">
        <v>238</v>
      </c>
      <c r="H166" s="2">
        <f t="shared" si="4"/>
        <v>0.2032967032967033</v>
      </c>
      <c r="I166" t="s">
        <v>23</v>
      </c>
      <c r="J166" t="s">
        <v>288</v>
      </c>
      <c r="K166">
        <v>110.8</v>
      </c>
      <c r="L166">
        <f t="shared" si="5"/>
        <v>1.8779661016949152</v>
      </c>
      <c r="N166" t="s">
        <v>408</v>
      </c>
    </row>
    <row r="167" spans="1:14" x14ac:dyDescent="0.3">
      <c r="A167" s="9" t="s">
        <v>299</v>
      </c>
      <c r="B167" s="2" t="s">
        <v>300</v>
      </c>
      <c r="C167" s="2">
        <v>18710</v>
      </c>
      <c r="D167" s="2">
        <v>3997</v>
      </c>
      <c r="E167" s="2">
        <v>58</v>
      </c>
      <c r="F167" s="2">
        <v>2405</v>
      </c>
      <c r="G167" s="2">
        <v>247</v>
      </c>
      <c r="H167" s="2">
        <f t="shared" si="4"/>
        <v>0.21362907536076964</v>
      </c>
      <c r="I167" t="s">
        <v>23</v>
      </c>
      <c r="J167" t="s">
        <v>288</v>
      </c>
      <c r="K167">
        <v>112.42</v>
      </c>
      <c r="L167">
        <f t="shared" si="5"/>
        <v>1.9382758620689655</v>
      </c>
      <c r="N167" t="s">
        <v>408</v>
      </c>
    </row>
    <row r="168" spans="1:14" x14ac:dyDescent="0.3">
      <c r="A168" s="9" t="s">
        <v>301</v>
      </c>
      <c r="B168" s="2" t="s">
        <v>302</v>
      </c>
      <c r="C168" s="2">
        <v>15154</v>
      </c>
      <c r="D168" s="2">
        <v>3209</v>
      </c>
      <c r="E168" s="2">
        <v>48</v>
      </c>
      <c r="F168" s="2">
        <v>1875</v>
      </c>
      <c r="G168" s="2">
        <v>202</v>
      </c>
      <c r="H168" s="2">
        <f t="shared" si="4"/>
        <v>0.21175927147947737</v>
      </c>
      <c r="I168" t="s">
        <v>23</v>
      </c>
      <c r="J168" t="s">
        <v>288</v>
      </c>
      <c r="K168">
        <v>97.12</v>
      </c>
      <c r="L168">
        <f t="shared" si="5"/>
        <v>2.0233333333333334</v>
      </c>
      <c r="N168" t="s">
        <v>408</v>
      </c>
    </row>
    <row r="169" spans="1:14" x14ac:dyDescent="0.3">
      <c r="A169" s="9" t="s">
        <v>303</v>
      </c>
      <c r="B169" s="2" t="s">
        <v>304</v>
      </c>
      <c r="C169" s="2">
        <v>10923</v>
      </c>
      <c r="D169" s="2">
        <v>2653</v>
      </c>
      <c r="E169" s="2">
        <v>34</v>
      </c>
      <c r="F169" s="2">
        <v>1442</v>
      </c>
      <c r="G169" s="2">
        <v>153</v>
      </c>
      <c r="H169" s="2">
        <f t="shared" si="4"/>
        <v>0.24288199212670511</v>
      </c>
      <c r="I169" t="s">
        <v>23</v>
      </c>
      <c r="J169" t="s">
        <v>288</v>
      </c>
      <c r="K169">
        <v>64.13</v>
      </c>
      <c r="L169">
        <f t="shared" si="5"/>
        <v>1.8861764705882351</v>
      </c>
      <c r="N169" t="s">
        <v>408</v>
      </c>
    </row>
    <row r="170" spans="1:14" x14ac:dyDescent="0.3">
      <c r="A170" s="9" t="s">
        <v>305</v>
      </c>
      <c r="B170" s="2" t="s">
        <v>306</v>
      </c>
      <c r="C170" s="2">
        <v>16273</v>
      </c>
      <c r="D170" s="2">
        <v>4089</v>
      </c>
      <c r="E170" s="2">
        <v>51</v>
      </c>
      <c r="F170" s="2">
        <v>2231</v>
      </c>
      <c r="G170" s="2">
        <v>240</v>
      </c>
      <c r="H170" s="2">
        <f t="shared" si="4"/>
        <v>0.25127511829410681</v>
      </c>
      <c r="I170" t="s">
        <v>23</v>
      </c>
      <c r="J170" t="s">
        <v>288</v>
      </c>
      <c r="K170">
        <v>110.68</v>
      </c>
      <c r="L170">
        <f t="shared" si="5"/>
        <v>2.1701960784313727</v>
      </c>
      <c r="N170" t="s">
        <v>408</v>
      </c>
    </row>
    <row r="171" spans="1:14" x14ac:dyDescent="0.3">
      <c r="A171" s="9" t="s">
        <v>307</v>
      </c>
      <c r="B171" s="2" t="s">
        <v>308</v>
      </c>
      <c r="C171" s="2">
        <v>21960</v>
      </c>
      <c r="D171" s="2">
        <v>4614</v>
      </c>
      <c r="E171" s="2">
        <v>69</v>
      </c>
      <c r="F171" s="2">
        <v>3262</v>
      </c>
      <c r="G171" s="2">
        <v>287</v>
      </c>
      <c r="H171" s="2">
        <f t="shared" si="4"/>
        <v>0.21010928961748634</v>
      </c>
      <c r="I171" t="s">
        <v>23</v>
      </c>
      <c r="J171" t="s">
        <v>288</v>
      </c>
      <c r="K171">
        <v>143.18</v>
      </c>
      <c r="L171">
        <f t="shared" si="5"/>
        <v>2.0750724637681159</v>
      </c>
      <c r="N171" t="s">
        <v>408</v>
      </c>
    </row>
    <row r="172" spans="1:14" x14ac:dyDescent="0.3">
      <c r="A172" s="9" t="s">
        <v>309</v>
      </c>
      <c r="B172" s="2" t="s">
        <v>310</v>
      </c>
      <c r="C172" s="2">
        <v>22485</v>
      </c>
      <c r="D172" s="2">
        <v>5848</v>
      </c>
      <c r="E172" s="2">
        <v>68</v>
      </c>
      <c r="F172" s="2">
        <v>3224</v>
      </c>
      <c r="G172" s="2">
        <v>311</v>
      </c>
      <c r="H172" s="2">
        <f t="shared" si="4"/>
        <v>0.26008450077829665</v>
      </c>
      <c r="I172" t="s">
        <v>23</v>
      </c>
      <c r="J172" t="s">
        <v>288</v>
      </c>
      <c r="K172">
        <v>135.32</v>
      </c>
      <c r="L172">
        <f t="shared" si="5"/>
        <v>1.99</v>
      </c>
      <c r="N172" t="s">
        <v>408</v>
      </c>
    </row>
    <row r="173" spans="1:14" x14ac:dyDescent="0.3">
      <c r="A173" s="9" t="s">
        <v>311</v>
      </c>
      <c r="B173" s="2" t="s">
        <v>312</v>
      </c>
      <c r="C173" s="2">
        <v>11131</v>
      </c>
      <c r="D173" s="2">
        <v>2516</v>
      </c>
      <c r="E173" s="2">
        <v>35</v>
      </c>
      <c r="F173" s="2">
        <v>1474</v>
      </c>
      <c r="G173" s="2">
        <v>151</v>
      </c>
      <c r="H173" s="2">
        <f t="shared" si="4"/>
        <v>0.22603539664001437</v>
      </c>
      <c r="I173" t="s">
        <v>23</v>
      </c>
      <c r="J173" t="s">
        <v>288</v>
      </c>
      <c r="K173">
        <v>67.650000000000006</v>
      </c>
      <c r="L173">
        <f t="shared" si="5"/>
        <v>1.9328571428571431</v>
      </c>
      <c r="N173" t="s">
        <v>408</v>
      </c>
    </row>
    <row r="174" spans="1:14" x14ac:dyDescent="0.3">
      <c r="A174" s="9" t="s">
        <v>313</v>
      </c>
      <c r="B174" s="2" t="s">
        <v>314</v>
      </c>
      <c r="C174" s="2">
        <v>16130</v>
      </c>
      <c r="D174" s="2">
        <v>3655</v>
      </c>
      <c r="E174" s="2">
        <v>52</v>
      </c>
      <c r="F174" s="2">
        <v>2223</v>
      </c>
      <c r="G174" s="2">
        <v>221</v>
      </c>
      <c r="H174" s="2">
        <f t="shared" si="4"/>
        <v>0.22659640421574706</v>
      </c>
      <c r="I174" t="s">
        <v>23</v>
      </c>
      <c r="J174" t="s">
        <v>288</v>
      </c>
      <c r="K174">
        <v>96.27</v>
      </c>
      <c r="L174">
        <f t="shared" si="5"/>
        <v>1.8513461538461538</v>
      </c>
      <c r="N174" t="s">
        <v>408</v>
      </c>
    </row>
    <row r="175" spans="1:14" x14ac:dyDescent="0.3">
      <c r="A175" s="9" t="s">
        <v>315</v>
      </c>
      <c r="B175" s="2" t="s">
        <v>316</v>
      </c>
      <c r="C175" s="2">
        <v>16309</v>
      </c>
      <c r="D175" s="2">
        <v>3843</v>
      </c>
      <c r="E175" s="2">
        <v>51</v>
      </c>
      <c r="F175" s="2">
        <v>2025</v>
      </c>
      <c r="G175" s="2">
        <v>244</v>
      </c>
      <c r="H175" s="2">
        <f t="shared" si="4"/>
        <v>0.23563676497639341</v>
      </c>
      <c r="I175" t="s">
        <v>23</v>
      </c>
      <c r="J175" t="s">
        <v>288</v>
      </c>
      <c r="K175">
        <v>96.48</v>
      </c>
      <c r="L175">
        <f t="shared" si="5"/>
        <v>1.891764705882353</v>
      </c>
      <c r="N175" t="s">
        <v>408</v>
      </c>
    </row>
    <row r="176" spans="1:14" x14ac:dyDescent="0.3">
      <c r="A176" s="9" t="s">
        <v>317</v>
      </c>
      <c r="B176" s="2" t="s">
        <v>318</v>
      </c>
      <c r="C176" s="2">
        <v>18168</v>
      </c>
      <c r="D176" s="2">
        <v>3933</v>
      </c>
      <c r="E176" s="2">
        <v>56</v>
      </c>
      <c r="F176" s="2">
        <v>2167</v>
      </c>
      <c r="G176" s="2">
        <v>218</v>
      </c>
      <c r="H176" s="2">
        <f t="shared" si="4"/>
        <v>0.21647952443857332</v>
      </c>
      <c r="I176" t="s">
        <v>23</v>
      </c>
      <c r="J176" t="s">
        <v>288</v>
      </c>
      <c r="K176">
        <v>103.23</v>
      </c>
      <c r="L176">
        <f t="shared" si="5"/>
        <v>1.8433928571428573</v>
      </c>
      <c r="N176" t="s">
        <v>408</v>
      </c>
    </row>
    <row r="177" spans="1:14" x14ac:dyDescent="0.3">
      <c r="A177" s="9" t="s">
        <v>319</v>
      </c>
      <c r="B177" s="2" t="s">
        <v>320</v>
      </c>
      <c r="C177" s="2">
        <v>8990</v>
      </c>
      <c r="D177" s="2">
        <v>1752</v>
      </c>
      <c r="E177" s="2">
        <v>28</v>
      </c>
      <c r="F177" s="2">
        <v>1170</v>
      </c>
      <c r="G177" s="2">
        <v>111</v>
      </c>
      <c r="H177" s="2">
        <f t="shared" si="4"/>
        <v>0.19488320355951055</v>
      </c>
      <c r="I177" t="s">
        <v>23</v>
      </c>
      <c r="J177" t="s">
        <v>288</v>
      </c>
      <c r="K177">
        <v>54.87</v>
      </c>
      <c r="L177">
        <f t="shared" si="5"/>
        <v>1.959642857142857</v>
      </c>
      <c r="N177" t="s">
        <v>408</v>
      </c>
    </row>
    <row r="178" spans="1:14" x14ac:dyDescent="0.3">
      <c r="A178" s="9" t="s">
        <v>321</v>
      </c>
      <c r="B178" s="2" t="s">
        <v>322</v>
      </c>
      <c r="C178" s="2">
        <v>11041</v>
      </c>
      <c r="D178" s="2">
        <v>2090</v>
      </c>
      <c r="E178" s="2">
        <v>35</v>
      </c>
      <c r="F178" s="2">
        <v>1376</v>
      </c>
      <c r="G178" s="2">
        <v>150</v>
      </c>
      <c r="H178" s="2">
        <f t="shared" si="4"/>
        <v>0.18929444796666969</v>
      </c>
      <c r="I178" t="s">
        <v>23</v>
      </c>
      <c r="J178" t="s">
        <v>288</v>
      </c>
      <c r="K178">
        <v>66.3</v>
      </c>
      <c r="L178">
        <f t="shared" si="5"/>
        <v>1.8942857142857141</v>
      </c>
      <c r="N178" t="s">
        <v>408</v>
      </c>
    </row>
    <row r="179" spans="1:14" x14ac:dyDescent="0.3">
      <c r="A179" s="9" t="s">
        <v>323</v>
      </c>
      <c r="B179" s="2" t="s">
        <v>324</v>
      </c>
      <c r="C179" s="2">
        <v>3688</v>
      </c>
      <c r="D179" s="2">
        <v>725</v>
      </c>
      <c r="E179" s="2">
        <v>12</v>
      </c>
      <c r="F179" s="2">
        <v>417</v>
      </c>
      <c r="G179" s="2">
        <v>41</v>
      </c>
      <c r="H179" s="2">
        <f t="shared" si="4"/>
        <v>0.19658351409978309</v>
      </c>
      <c r="I179" t="s">
        <v>23</v>
      </c>
      <c r="J179" t="s">
        <v>288</v>
      </c>
      <c r="K179">
        <v>22.62</v>
      </c>
      <c r="L179">
        <f t="shared" si="5"/>
        <v>1.885</v>
      </c>
      <c r="N179" t="s">
        <v>408</v>
      </c>
    </row>
    <row r="180" spans="1:14" x14ac:dyDescent="0.3">
      <c r="A180" s="9" t="s">
        <v>325</v>
      </c>
      <c r="B180" s="2" t="s">
        <v>326</v>
      </c>
      <c r="C180" s="2">
        <v>13693</v>
      </c>
      <c r="D180" s="2">
        <v>2852</v>
      </c>
      <c r="E180" s="2">
        <v>42</v>
      </c>
      <c r="F180" s="2">
        <v>1829</v>
      </c>
      <c r="G180" s="2">
        <v>170</v>
      </c>
      <c r="H180" s="2">
        <f t="shared" si="4"/>
        <v>0.20828160373913679</v>
      </c>
      <c r="I180" t="s">
        <v>23</v>
      </c>
      <c r="J180" t="s">
        <v>288</v>
      </c>
      <c r="K180">
        <v>82.58</v>
      </c>
      <c r="L180">
        <f t="shared" si="5"/>
        <v>1.966190476190476</v>
      </c>
      <c r="N180" t="s">
        <v>408</v>
      </c>
    </row>
    <row r="181" spans="1:14" x14ac:dyDescent="0.3">
      <c r="A181" s="9" t="s">
        <v>327</v>
      </c>
      <c r="B181" s="2" t="s">
        <v>328</v>
      </c>
      <c r="C181" s="2">
        <v>7208</v>
      </c>
      <c r="D181" s="2">
        <v>1759</v>
      </c>
      <c r="E181" s="2">
        <v>22</v>
      </c>
      <c r="F181" s="2">
        <v>887</v>
      </c>
      <c r="G181" s="2">
        <v>99</v>
      </c>
      <c r="H181" s="2">
        <f t="shared" si="4"/>
        <v>0.2440344062153163</v>
      </c>
      <c r="I181" t="s">
        <v>23</v>
      </c>
      <c r="J181" t="s">
        <v>288</v>
      </c>
      <c r="K181">
        <v>45.7</v>
      </c>
      <c r="L181">
        <f t="shared" si="5"/>
        <v>2.0772727272727276</v>
      </c>
      <c r="N181" t="s">
        <v>408</v>
      </c>
    </row>
    <row r="182" spans="1:14" x14ac:dyDescent="0.3">
      <c r="A182" s="9" t="s">
        <v>329</v>
      </c>
      <c r="B182" s="2" t="s">
        <v>330</v>
      </c>
      <c r="C182" s="2">
        <v>15929</v>
      </c>
      <c r="D182" s="2">
        <v>3870</v>
      </c>
      <c r="E182" s="2">
        <v>48</v>
      </c>
      <c r="F182" s="2">
        <v>1781</v>
      </c>
      <c r="G182" s="2">
        <v>215</v>
      </c>
      <c r="H182" s="2">
        <f t="shared" si="4"/>
        <v>0.24295310440077844</v>
      </c>
      <c r="I182" t="s">
        <v>23</v>
      </c>
      <c r="J182" t="s">
        <v>288</v>
      </c>
      <c r="K182">
        <v>98.65</v>
      </c>
      <c r="L182">
        <f t="shared" si="5"/>
        <v>2.0552083333333333</v>
      </c>
      <c r="N182" t="s">
        <v>408</v>
      </c>
    </row>
    <row r="183" spans="1:14" x14ac:dyDescent="0.3">
      <c r="A183" s="9" t="s">
        <v>331</v>
      </c>
      <c r="B183" s="2" t="s">
        <v>332</v>
      </c>
      <c r="C183" s="2">
        <v>9163</v>
      </c>
      <c r="D183" s="2">
        <v>1964</v>
      </c>
      <c r="E183" s="2">
        <v>29</v>
      </c>
      <c r="F183" s="2">
        <v>1277</v>
      </c>
      <c r="G183" s="2">
        <v>119</v>
      </c>
      <c r="H183" s="2">
        <f t="shared" si="4"/>
        <v>0.21434028156717233</v>
      </c>
      <c r="I183" t="s">
        <v>23</v>
      </c>
      <c r="J183" t="s">
        <v>288</v>
      </c>
      <c r="K183">
        <v>58.72</v>
      </c>
      <c r="L183">
        <f t="shared" si="5"/>
        <v>2.0248275862068965</v>
      </c>
      <c r="N183" t="s">
        <v>408</v>
      </c>
    </row>
    <row r="184" spans="1:14" x14ac:dyDescent="0.3">
      <c r="A184" s="9" t="s">
        <v>333</v>
      </c>
      <c r="B184" s="2" t="s">
        <v>334</v>
      </c>
      <c r="C184" s="2">
        <v>10775</v>
      </c>
      <c r="D184" s="2">
        <v>2345</v>
      </c>
      <c r="E184" s="2">
        <v>34</v>
      </c>
      <c r="F184" s="2">
        <v>1389</v>
      </c>
      <c r="G184" s="2">
        <v>152</v>
      </c>
      <c r="H184" s="2">
        <f t="shared" si="4"/>
        <v>0.21763341067285383</v>
      </c>
      <c r="I184" t="s">
        <v>23</v>
      </c>
      <c r="J184" t="s">
        <v>288</v>
      </c>
      <c r="K184">
        <v>72.13</v>
      </c>
      <c r="L184">
        <f t="shared" si="5"/>
        <v>2.1214705882352938</v>
      </c>
      <c r="N184" t="s">
        <v>408</v>
      </c>
    </row>
    <row r="185" spans="1:14" x14ac:dyDescent="0.3">
      <c r="A185" s="9" t="s">
        <v>335</v>
      </c>
      <c r="B185" s="2" t="s">
        <v>336</v>
      </c>
      <c r="C185" s="2">
        <v>9851</v>
      </c>
      <c r="D185" s="2">
        <v>2053</v>
      </c>
      <c r="E185" s="2">
        <v>32</v>
      </c>
      <c r="F185" s="2">
        <v>1277</v>
      </c>
      <c r="G185" s="2">
        <v>129</v>
      </c>
      <c r="H185" s="2">
        <f t="shared" si="4"/>
        <v>0.20840523804689878</v>
      </c>
      <c r="I185" t="s">
        <v>23</v>
      </c>
      <c r="J185" t="s">
        <v>288</v>
      </c>
      <c r="K185">
        <v>63.48</v>
      </c>
      <c r="L185">
        <f t="shared" si="5"/>
        <v>1.9837499999999999</v>
      </c>
      <c r="N185" t="s">
        <v>408</v>
      </c>
    </row>
    <row r="186" spans="1:14" x14ac:dyDescent="0.3">
      <c r="A186" s="9" t="s">
        <v>337</v>
      </c>
      <c r="B186" s="2" t="s">
        <v>338</v>
      </c>
      <c r="C186" s="2">
        <v>5913</v>
      </c>
      <c r="D186" s="2">
        <v>1236</v>
      </c>
      <c r="E186" s="2">
        <v>19</v>
      </c>
      <c r="F186" s="2">
        <v>733</v>
      </c>
      <c r="G186" s="2">
        <v>66</v>
      </c>
      <c r="H186" s="2">
        <f t="shared" si="4"/>
        <v>0.20903094875697614</v>
      </c>
      <c r="I186" t="s">
        <v>23</v>
      </c>
      <c r="J186" t="s">
        <v>288</v>
      </c>
      <c r="K186">
        <v>39.93</v>
      </c>
      <c r="L186">
        <f t="shared" si="5"/>
        <v>2.101578947368421</v>
      </c>
      <c r="N186" t="s">
        <v>408</v>
      </c>
    </row>
    <row r="187" spans="1:14" x14ac:dyDescent="0.3">
      <c r="A187" s="9" t="s">
        <v>339</v>
      </c>
      <c r="B187" s="2" t="s">
        <v>340</v>
      </c>
      <c r="C187" s="2">
        <v>11671</v>
      </c>
      <c r="D187" s="2">
        <v>2702</v>
      </c>
      <c r="E187" s="2">
        <v>37</v>
      </c>
      <c r="F187" s="2">
        <v>1424</v>
      </c>
      <c r="G187" s="2">
        <v>158</v>
      </c>
      <c r="H187" s="2">
        <f t="shared" si="4"/>
        <v>0.23151400908234085</v>
      </c>
      <c r="I187" t="s">
        <v>23</v>
      </c>
      <c r="J187" t="s">
        <v>288</v>
      </c>
      <c r="K187">
        <v>82.77</v>
      </c>
      <c r="L187">
        <f t="shared" si="5"/>
        <v>2.2370270270270267</v>
      </c>
      <c r="N187" t="s">
        <v>408</v>
      </c>
    </row>
    <row r="188" spans="1:14" x14ac:dyDescent="0.3">
      <c r="A188" s="9" t="s">
        <v>341</v>
      </c>
      <c r="B188" s="2" t="s">
        <v>342</v>
      </c>
      <c r="C188" s="2">
        <v>20033</v>
      </c>
      <c r="D188" s="2">
        <v>4574</v>
      </c>
      <c r="E188" s="2">
        <v>67</v>
      </c>
      <c r="F188" s="2">
        <v>2472</v>
      </c>
      <c r="G188" s="2">
        <v>273</v>
      </c>
      <c r="H188" s="2">
        <f t="shared" si="4"/>
        <v>0.22832326661009333</v>
      </c>
      <c r="I188" t="s">
        <v>23</v>
      </c>
      <c r="J188" t="s">
        <v>288</v>
      </c>
      <c r="K188">
        <v>131.62</v>
      </c>
      <c r="L188">
        <f t="shared" si="5"/>
        <v>1.9644776119402987</v>
      </c>
      <c r="N188" t="s">
        <v>408</v>
      </c>
    </row>
    <row r="189" spans="1:14" x14ac:dyDescent="0.3">
      <c r="A189" s="9" t="s">
        <v>343</v>
      </c>
      <c r="B189" s="2" t="s">
        <v>344</v>
      </c>
      <c r="C189" s="2">
        <v>20567</v>
      </c>
      <c r="D189" s="2">
        <v>3782</v>
      </c>
      <c r="E189" s="2">
        <v>63</v>
      </c>
      <c r="F189" s="2">
        <v>2725</v>
      </c>
      <c r="G189" s="2">
        <v>234</v>
      </c>
      <c r="H189" s="2">
        <f t="shared" si="4"/>
        <v>0.18388680896581902</v>
      </c>
      <c r="I189" t="s">
        <v>23</v>
      </c>
      <c r="J189" t="s">
        <v>288</v>
      </c>
      <c r="K189">
        <v>119.93</v>
      </c>
      <c r="L189">
        <f t="shared" si="5"/>
        <v>1.9036507936507938</v>
      </c>
      <c r="N189" t="s">
        <v>408</v>
      </c>
    </row>
    <row r="190" spans="1:14" x14ac:dyDescent="0.3">
      <c r="A190" s="9" t="s">
        <v>345</v>
      </c>
      <c r="B190" s="2" t="s">
        <v>346</v>
      </c>
      <c r="C190" s="2">
        <v>6926</v>
      </c>
      <c r="D190" s="2">
        <v>1376</v>
      </c>
      <c r="E190" s="2">
        <v>23</v>
      </c>
      <c r="F190" s="2">
        <v>940</v>
      </c>
      <c r="G190" s="2">
        <v>83</v>
      </c>
      <c r="H190" s="2">
        <f t="shared" ref="H190:H214" si="6">D190/C190</f>
        <v>0.19867167196072769</v>
      </c>
      <c r="I190" t="s">
        <v>23</v>
      </c>
      <c r="J190" t="s">
        <v>288</v>
      </c>
      <c r="K190">
        <v>40.729999999999997</v>
      </c>
      <c r="L190">
        <f t="shared" si="5"/>
        <v>1.7708695652173911</v>
      </c>
      <c r="N190" t="s">
        <v>408</v>
      </c>
    </row>
    <row r="191" spans="1:14" x14ac:dyDescent="0.3">
      <c r="A191" s="9" t="s">
        <v>347</v>
      </c>
      <c r="B191" s="2" t="s">
        <v>348</v>
      </c>
      <c r="C191" s="2">
        <v>6687</v>
      </c>
      <c r="D191" s="2">
        <v>1487</v>
      </c>
      <c r="E191" s="2">
        <v>21</v>
      </c>
      <c r="F191" s="2">
        <v>850</v>
      </c>
      <c r="G191" s="2">
        <v>91</v>
      </c>
      <c r="H191" s="2">
        <f t="shared" si="6"/>
        <v>0.22237176611335427</v>
      </c>
      <c r="I191" t="s">
        <v>23</v>
      </c>
      <c r="J191" t="s">
        <v>288</v>
      </c>
      <c r="K191">
        <v>41.57</v>
      </c>
      <c r="L191">
        <f t="shared" si="5"/>
        <v>1.9795238095238095</v>
      </c>
      <c r="N191" t="s">
        <v>408</v>
      </c>
    </row>
    <row r="192" spans="1:14" x14ac:dyDescent="0.3">
      <c r="A192" s="9" t="s">
        <v>349</v>
      </c>
      <c r="B192" s="2" t="s">
        <v>350</v>
      </c>
      <c r="C192" s="2">
        <v>6687</v>
      </c>
      <c r="D192" s="2">
        <v>1366</v>
      </c>
      <c r="E192" s="2">
        <v>21</v>
      </c>
      <c r="F192" s="2">
        <v>850</v>
      </c>
      <c r="G192" s="2">
        <v>89</v>
      </c>
      <c r="H192" s="2">
        <f t="shared" si="6"/>
        <v>0.20427695528637654</v>
      </c>
      <c r="I192" t="s">
        <v>23</v>
      </c>
      <c r="J192" t="s">
        <v>288</v>
      </c>
      <c r="K192">
        <v>58.12</v>
      </c>
      <c r="L192">
        <f t="shared" si="5"/>
        <v>2.7676190476190476</v>
      </c>
      <c r="N192" t="s">
        <v>408</v>
      </c>
    </row>
    <row r="193" spans="1:14" x14ac:dyDescent="0.3">
      <c r="A193" s="9" t="s">
        <v>351</v>
      </c>
      <c r="B193" s="2" t="s">
        <v>172</v>
      </c>
      <c r="C193" s="2">
        <v>8117</v>
      </c>
      <c r="D193" s="2">
        <v>2052</v>
      </c>
      <c r="E193" s="2">
        <v>25</v>
      </c>
      <c r="F193" s="2">
        <v>984</v>
      </c>
      <c r="G193" s="2">
        <v>117</v>
      </c>
      <c r="H193" s="2">
        <f t="shared" si="6"/>
        <v>0.25280275964026117</v>
      </c>
      <c r="I193" t="s">
        <v>11</v>
      </c>
      <c r="J193" t="s">
        <v>352</v>
      </c>
      <c r="K193">
        <v>60.08</v>
      </c>
      <c r="L193">
        <f t="shared" si="5"/>
        <v>2.4032</v>
      </c>
      <c r="N193" t="s">
        <v>408</v>
      </c>
    </row>
    <row r="194" spans="1:14" x14ac:dyDescent="0.3">
      <c r="A194" s="9" t="s">
        <v>353</v>
      </c>
      <c r="B194" s="2" t="s">
        <v>354</v>
      </c>
      <c r="C194" s="2">
        <v>8687</v>
      </c>
      <c r="D194" s="2">
        <v>2085</v>
      </c>
      <c r="E194" s="2">
        <v>27</v>
      </c>
      <c r="F194" s="2">
        <v>1110</v>
      </c>
      <c r="G194" s="2">
        <v>126</v>
      </c>
      <c r="H194" s="2">
        <f t="shared" si="6"/>
        <v>0.24001381374467595</v>
      </c>
      <c r="I194" t="s">
        <v>11</v>
      </c>
      <c r="J194" t="s">
        <v>352</v>
      </c>
      <c r="K194">
        <v>65.400000000000006</v>
      </c>
      <c r="L194">
        <f t="shared" si="5"/>
        <v>2.4222222222222225</v>
      </c>
      <c r="N194" t="s">
        <v>408</v>
      </c>
    </row>
    <row r="195" spans="1:14" x14ac:dyDescent="0.3">
      <c r="A195" s="9" t="s">
        <v>355</v>
      </c>
      <c r="B195" s="2" t="s">
        <v>356</v>
      </c>
      <c r="C195" s="2">
        <v>7889</v>
      </c>
      <c r="D195" s="2">
        <v>2064</v>
      </c>
      <c r="E195" s="2">
        <v>25</v>
      </c>
      <c r="F195" s="2">
        <v>919</v>
      </c>
      <c r="G195" s="2">
        <v>123</v>
      </c>
      <c r="H195" s="2">
        <f t="shared" si="6"/>
        <v>0.26163011788566359</v>
      </c>
      <c r="I195" t="s">
        <v>11</v>
      </c>
      <c r="J195" t="s">
        <v>352</v>
      </c>
      <c r="K195">
        <v>52.05</v>
      </c>
      <c r="L195">
        <f t="shared" ref="L195:L214" si="7">K195/E195</f>
        <v>2.0819999999999999</v>
      </c>
      <c r="N195" t="s">
        <v>418</v>
      </c>
    </row>
    <row r="196" spans="1:14" x14ac:dyDescent="0.3">
      <c r="A196" s="9" t="s">
        <v>357</v>
      </c>
      <c r="B196" s="2" t="s">
        <v>358</v>
      </c>
      <c r="C196" s="2">
        <v>5774</v>
      </c>
      <c r="D196" s="2">
        <v>1473</v>
      </c>
      <c r="E196" s="2">
        <v>18</v>
      </c>
      <c r="F196" s="2">
        <v>646</v>
      </c>
      <c r="G196" s="2">
        <v>87</v>
      </c>
      <c r="H196" s="2">
        <f t="shared" si="6"/>
        <v>0.25510910980256324</v>
      </c>
      <c r="I196" t="s">
        <v>11</v>
      </c>
      <c r="J196" t="s">
        <v>352</v>
      </c>
      <c r="K196">
        <v>40.67</v>
      </c>
      <c r="L196">
        <f t="shared" si="7"/>
        <v>2.2594444444444446</v>
      </c>
      <c r="N196" t="s">
        <v>418</v>
      </c>
    </row>
    <row r="197" spans="1:14" x14ac:dyDescent="0.3">
      <c r="A197" s="9" t="s">
        <v>359</v>
      </c>
      <c r="B197" s="2" t="s">
        <v>360</v>
      </c>
      <c r="C197" s="2">
        <v>8585</v>
      </c>
      <c r="D197" s="2">
        <v>2025</v>
      </c>
      <c r="E197" s="2">
        <v>25</v>
      </c>
      <c r="F197" s="2">
        <v>1091</v>
      </c>
      <c r="G197" s="2">
        <v>123</v>
      </c>
      <c r="H197" s="2">
        <f t="shared" si="6"/>
        <v>0.23587652882935353</v>
      </c>
      <c r="I197" t="s">
        <v>11</v>
      </c>
      <c r="J197" t="s">
        <v>352</v>
      </c>
      <c r="K197">
        <v>62.3</v>
      </c>
      <c r="L197">
        <f t="shared" si="7"/>
        <v>2.492</v>
      </c>
      <c r="N197" t="s">
        <v>418</v>
      </c>
    </row>
    <row r="198" spans="1:14" x14ac:dyDescent="0.3">
      <c r="A198" s="9" t="s">
        <v>361</v>
      </c>
      <c r="B198" s="2" t="s">
        <v>362</v>
      </c>
      <c r="C198" s="2">
        <v>7308</v>
      </c>
      <c r="D198" s="2">
        <v>1735</v>
      </c>
      <c r="E198" s="2">
        <v>22</v>
      </c>
      <c r="F198" s="2">
        <v>901</v>
      </c>
      <c r="G198" s="2">
        <v>100</v>
      </c>
      <c r="H198" s="2">
        <f t="shared" si="6"/>
        <v>0.23741105637657361</v>
      </c>
      <c r="I198" t="s">
        <v>11</v>
      </c>
      <c r="J198" t="s">
        <v>352</v>
      </c>
      <c r="K198">
        <v>51.12</v>
      </c>
      <c r="L198">
        <f t="shared" si="7"/>
        <v>2.3236363636363637</v>
      </c>
      <c r="N198" t="s">
        <v>418</v>
      </c>
    </row>
    <row r="199" spans="1:14" x14ac:dyDescent="0.3">
      <c r="A199" s="9" t="s">
        <v>363</v>
      </c>
      <c r="B199" s="2" t="s">
        <v>364</v>
      </c>
      <c r="C199" s="2">
        <v>10651</v>
      </c>
      <c r="D199" s="2">
        <v>2558</v>
      </c>
      <c r="E199" s="2">
        <v>31</v>
      </c>
      <c r="F199" s="2">
        <v>1258</v>
      </c>
      <c r="G199" s="2">
        <v>148</v>
      </c>
      <c r="H199" s="2">
        <f t="shared" si="6"/>
        <v>0.24016524270021594</v>
      </c>
      <c r="I199" t="s">
        <v>11</v>
      </c>
      <c r="J199" t="s">
        <v>352</v>
      </c>
      <c r="K199">
        <v>85.63</v>
      </c>
      <c r="L199">
        <f t="shared" si="7"/>
        <v>2.762258064516129</v>
      </c>
      <c r="N199" t="s">
        <v>418</v>
      </c>
    </row>
    <row r="200" spans="1:14" x14ac:dyDescent="0.3">
      <c r="A200" s="9" t="s">
        <v>365</v>
      </c>
      <c r="B200" s="2" t="s">
        <v>366</v>
      </c>
      <c r="C200" s="2">
        <v>6919</v>
      </c>
      <c r="D200" s="2">
        <v>1851</v>
      </c>
      <c r="E200" s="2">
        <v>21</v>
      </c>
      <c r="F200" s="2">
        <v>850</v>
      </c>
      <c r="G200" s="2">
        <v>105</v>
      </c>
      <c r="H200" s="2">
        <f t="shared" si="6"/>
        <v>0.26752420870067928</v>
      </c>
      <c r="I200" t="s">
        <v>11</v>
      </c>
      <c r="J200" t="s">
        <v>352</v>
      </c>
      <c r="K200">
        <v>52.88</v>
      </c>
      <c r="L200">
        <f t="shared" si="7"/>
        <v>2.5180952380952384</v>
      </c>
      <c r="N200" t="s">
        <v>418</v>
      </c>
    </row>
    <row r="201" spans="1:14" x14ac:dyDescent="0.3">
      <c r="A201" s="9" t="s">
        <v>367</v>
      </c>
      <c r="B201" s="2" t="s">
        <v>368</v>
      </c>
      <c r="C201" s="2">
        <v>9554</v>
      </c>
      <c r="D201" s="2">
        <v>2286</v>
      </c>
      <c r="E201" s="2">
        <v>29</v>
      </c>
      <c r="F201" s="2">
        <v>1038</v>
      </c>
      <c r="G201" s="2">
        <v>133</v>
      </c>
      <c r="H201" s="2">
        <f t="shared" si="6"/>
        <v>0.23927150931546995</v>
      </c>
      <c r="I201" t="s">
        <v>11</v>
      </c>
      <c r="J201" t="s">
        <v>352</v>
      </c>
      <c r="K201">
        <v>68.42</v>
      </c>
      <c r="L201">
        <f t="shared" si="7"/>
        <v>2.3593103448275863</v>
      </c>
      <c r="N201" t="s">
        <v>418</v>
      </c>
    </row>
    <row r="202" spans="1:14" x14ac:dyDescent="0.3">
      <c r="A202" s="9" t="s">
        <v>369</v>
      </c>
      <c r="B202" s="2" t="s">
        <v>370</v>
      </c>
      <c r="C202" s="2">
        <v>4411</v>
      </c>
      <c r="D202" s="2">
        <v>987</v>
      </c>
      <c r="E202" s="2">
        <v>14</v>
      </c>
      <c r="F202" s="2">
        <v>506</v>
      </c>
      <c r="G202" s="2">
        <v>58</v>
      </c>
      <c r="H202" s="2">
        <f t="shared" si="6"/>
        <v>0.22375878485604173</v>
      </c>
      <c r="I202" t="s">
        <v>11</v>
      </c>
      <c r="J202" t="s">
        <v>352</v>
      </c>
      <c r="K202">
        <v>29.88</v>
      </c>
      <c r="L202">
        <f t="shared" si="7"/>
        <v>2.1342857142857143</v>
      </c>
      <c r="N202" t="s">
        <v>418</v>
      </c>
    </row>
    <row r="203" spans="1:14" x14ac:dyDescent="0.3">
      <c r="A203" s="9" t="s">
        <v>371</v>
      </c>
      <c r="B203" s="2" t="s">
        <v>372</v>
      </c>
      <c r="C203" s="2">
        <v>5419</v>
      </c>
      <c r="D203" s="2">
        <v>1319</v>
      </c>
      <c r="E203" s="2">
        <v>17</v>
      </c>
      <c r="F203" s="2">
        <v>593</v>
      </c>
      <c r="G203" s="2">
        <v>74</v>
      </c>
      <c r="H203" s="2">
        <f t="shared" si="6"/>
        <v>0.24340284185274036</v>
      </c>
      <c r="I203" t="s">
        <v>11</v>
      </c>
      <c r="J203" t="s">
        <v>352</v>
      </c>
      <c r="K203">
        <v>36.53</v>
      </c>
      <c r="L203">
        <f t="shared" si="7"/>
        <v>2.1488235294117648</v>
      </c>
      <c r="N203" t="s">
        <v>418</v>
      </c>
    </row>
    <row r="204" spans="1:14" x14ac:dyDescent="0.3">
      <c r="A204" s="9" t="s">
        <v>373</v>
      </c>
      <c r="B204" s="2" t="s">
        <v>374</v>
      </c>
      <c r="C204" s="2">
        <v>9447</v>
      </c>
      <c r="D204" s="2">
        <v>2423</v>
      </c>
      <c r="E204" s="2">
        <v>28</v>
      </c>
      <c r="F204" s="2">
        <v>1108</v>
      </c>
      <c r="G204" s="2">
        <v>140</v>
      </c>
      <c r="H204" s="2">
        <f t="shared" si="6"/>
        <v>0.25648353974806815</v>
      </c>
      <c r="I204" t="s">
        <v>11</v>
      </c>
      <c r="J204" t="s">
        <v>352</v>
      </c>
      <c r="K204">
        <v>67.099999999999994</v>
      </c>
      <c r="L204">
        <f t="shared" si="7"/>
        <v>2.3964285714285714</v>
      </c>
      <c r="N204" t="s">
        <v>418</v>
      </c>
    </row>
    <row r="205" spans="1:14" x14ac:dyDescent="0.3">
      <c r="A205" s="9" t="s">
        <v>375</v>
      </c>
      <c r="B205" s="2" t="s">
        <v>376</v>
      </c>
      <c r="C205" s="2">
        <v>8121</v>
      </c>
      <c r="D205" s="2">
        <v>1791</v>
      </c>
      <c r="E205" s="2">
        <v>25</v>
      </c>
      <c r="F205" s="2">
        <v>1166</v>
      </c>
      <c r="G205" s="2">
        <v>102</v>
      </c>
      <c r="H205" s="2">
        <f t="shared" si="6"/>
        <v>0.22053934244551163</v>
      </c>
      <c r="I205" t="s">
        <v>15</v>
      </c>
      <c r="J205" t="s">
        <v>377</v>
      </c>
      <c r="K205">
        <v>75.77</v>
      </c>
      <c r="L205">
        <f t="shared" si="7"/>
        <v>3.0307999999999997</v>
      </c>
      <c r="N205" t="s">
        <v>405</v>
      </c>
    </row>
    <row r="206" spans="1:14" x14ac:dyDescent="0.3">
      <c r="A206" s="9" t="s">
        <v>378</v>
      </c>
      <c r="B206" s="2" t="s">
        <v>379</v>
      </c>
      <c r="C206" s="2">
        <v>4007</v>
      </c>
      <c r="D206" s="2">
        <v>860</v>
      </c>
      <c r="E206" s="2">
        <v>14</v>
      </c>
      <c r="F206" s="2">
        <v>401</v>
      </c>
      <c r="G206" s="2">
        <v>67</v>
      </c>
      <c r="H206" s="2">
        <f t="shared" si="6"/>
        <v>0.21462440728724733</v>
      </c>
      <c r="I206" t="s">
        <v>380</v>
      </c>
      <c r="J206" t="s">
        <v>377</v>
      </c>
      <c r="K206">
        <v>35.22</v>
      </c>
      <c r="L206">
        <f t="shared" si="7"/>
        <v>2.5157142857142856</v>
      </c>
      <c r="N206" t="s">
        <v>440</v>
      </c>
    </row>
    <row r="207" spans="1:14" x14ac:dyDescent="0.3">
      <c r="A207" s="9" t="s">
        <v>381</v>
      </c>
      <c r="B207" s="2" t="s">
        <v>382</v>
      </c>
      <c r="C207" s="2">
        <v>6750</v>
      </c>
      <c r="D207" s="2">
        <v>1493</v>
      </c>
      <c r="E207" s="2">
        <v>25</v>
      </c>
      <c r="F207" s="2">
        <v>932</v>
      </c>
      <c r="G207" s="2">
        <v>125</v>
      </c>
      <c r="H207" s="2">
        <f t="shared" si="6"/>
        <v>0.22118518518518518</v>
      </c>
      <c r="I207" t="s">
        <v>380</v>
      </c>
      <c r="J207" t="s">
        <v>377</v>
      </c>
      <c r="K207">
        <v>64.17</v>
      </c>
      <c r="L207">
        <f t="shared" si="7"/>
        <v>2.5668000000000002</v>
      </c>
      <c r="N207" t="s">
        <v>441</v>
      </c>
    </row>
    <row r="208" spans="1:14" x14ac:dyDescent="0.3">
      <c r="A208" s="9" t="s">
        <v>383</v>
      </c>
      <c r="B208" s="2" t="s">
        <v>384</v>
      </c>
      <c r="C208" s="2">
        <v>5843</v>
      </c>
      <c r="D208" s="2">
        <v>1390</v>
      </c>
      <c r="E208" s="2">
        <v>21</v>
      </c>
      <c r="F208" s="2">
        <v>697</v>
      </c>
      <c r="G208" s="2">
        <v>101</v>
      </c>
      <c r="H208" s="2">
        <f t="shared" si="6"/>
        <v>0.2378914940954989</v>
      </c>
      <c r="I208" t="s">
        <v>380</v>
      </c>
      <c r="J208" t="s">
        <v>377</v>
      </c>
      <c r="K208">
        <v>41.98</v>
      </c>
      <c r="L208">
        <f t="shared" si="7"/>
        <v>1.999047619047619</v>
      </c>
      <c r="N208" t="s">
        <v>442</v>
      </c>
    </row>
    <row r="209" spans="1:14" x14ac:dyDescent="0.3">
      <c r="A209" s="9" t="s">
        <v>385</v>
      </c>
      <c r="B209" s="2" t="s">
        <v>386</v>
      </c>
      <c r="C209" s="2">
        <v>4465</v>
      </c>
      <c r="D209" s="2">
        <v>1045</v>
      </c>
      <c r="E209" s="2">
        <v>16</v>
      </c>
      <c r="F209" s="2">
        <v>585</v>
      </c>
      <c r="G209" s="2">
        <v>72</v>
      </c>
      <c r="H209" s="2">
        <f t="shared" si="6"/>
        <v>0.23404255319148937</v>
      </c>
      <c r="I209" t="s">
        <v>380</v>
      </c>
      <c r="J209" t="s">
        <v>377</v>
      </c>
      <c r="K209">
        <v>56.42</v>
      </c>
      <c r="L209">
        <f t="shared" si="7"/>
        <v>3.5262500000000001</v>
      </c>
      <c r="N209" t="s">
        <v>442</v>
      </c>
    </row>
    <row r="210" spans="1:14" x14ac:dyDescent="0.3">
      <c r="A210" s="9" t="s">
        <v>387</v>
      </c>
      <c r="B210" s="2" t="s">
        <v>388</v>
      </c>
      <c r="C210" s="2">
        <v>24924</v>
      </c>
      <c r="D210" s="2">
        <v>6295</v>
      </c>
      <c r="E210" s="2">
        <v>75</v>
      </c>
      <c r="F210" s="2">
        <v>2670</v>
      </c>
      <c r="G210" s="2">
        <v>328</v>
      </c>
      <c r="H210" s="2">
        <f t="shared" si="6"/>
        <v>0.25256780613063712</v>
      </c>
      <c r="I210" t="s">
        <v>15</v>
      </c>
      <c r="J210" t="s">
        <v>377</v>
      </c>
      <c r="K210">
        <v>260.75</v>
      </c>
      <c r="L210">
        <f t="shared" si="7"/>
        <v>3.4766666666666666</v>
      </c>
      <c r="N210" t="s">
        <v>405</v>
      </c>
    </row>
    <row r="211" spans="1:14" x14ac:dyDescent="0.3">
      <c r="A211" s="9" t="s">
        <v>389</v>
      </c>
      <c r="B211" s="2" t="s">
        <v>390</v>
      </c>
      <c r="C211" s="2">
        <v>32566</v>
      </c>
      <c r="D211" s="2">
        <v>8524</v>
      </c>
      <c r="E211" s="2">
        <v>99</v>
      </c>
      <c r="F211" s="2">
        <v>3741</v>
      </c>
      <c r="G211" s="2">
        <v>504</v>
      </c>
      <c r="H211" s="2">
        <f t="shared" si="6"/>
        <v>0.26174537861573421</v>
      </c>
      <c r="I211" t="s">
        <v>15</v>
      </c>
      <c r="J211" t="s">
        <v>391</v>
      </c>
      <c r="K211">
        <v>246.4</v>
      </c>
      <c r="L211">
        <f t="shared" si="7"/>
        <v>2.4888888888888889</v>
      </c>
      <c r="N211" t="s">
        <v>404</v>
      </c>
    </row>
    <row r="212" spans="1:14" x14ac:dyDescent="0.3">
      <c r="A212" s="9" t="s">
        <v>392</v>
      </c>
      <c r="B212" s="2" t="s">
        <v>393</v>
      </c>
      <c r="C212" s="2">
        <v>23269</v>
      </c>
      <c r="D212" s="2">
        <v>10022</v>
      </c>
      <c r="E212" s="2">
        <v>69</v>
      </c>
      <c r="F212" s="2">
        <v>2990</v>
      </c>
      <c r="G212" s="2">
        <v>528</v>
      </c>
      <c r="H212" s="2">
        <f t="shared" si="6"/>
        <v>0.43070179208388842</v>
      </c>
      <c r="I212" t="s">
        <v>15</v>
      </c>
      <c r="J212" t="s">
        <v>391</v>
      </c>
      <c r="K212">
        <v>171.88</v>
      </c>
      <c r="L212">
        <f t="shared" si="7"/>
        <v>2.4910144927536231</v>
      </c>
      <c r="N212" t="s">
        <v>405</v>
      </c>
    </row>
    <row r="213" spans="1:14" x14ac:dyDescent="0.3">
      <c r="A213" s="9" t="s">
        <v>394</v>
      </c>
      <c r="B213" s="2" t="s">
        <v>395</v>
      </c>
      <c r="C213" s="2">
        <v>19734</v>
      </c>
      <c r="D213" s="2">
        <v>5554</v>
      </c>
      <c r="E213" s="2">
        <v>60</v>
      </c>
      <c r="F213" s="2">
        <v>2563</v>
      </c>
      <c r="G213" s="2">
        <v>320</v>
      </c>
      <c r="H213" s="2">
        <f t="shared" si="6"/>
        <v>0.28144319448667277</v>
      </c>
      <c r="I213" t="s">
        <v>15</v>
      </c>
      <c r="J213" t="s">
        <v>391</v>
      </c>
      <c r="K213">
        <v>151.22999999999999</v>
      </c>
      <c r="L213">
        <f t="shared" si="7"/>
        <v>2.5204999999999997</v>
      </c>
      <c r="N213" t="s">
        <v>424</v>
      </c>
    </row>
    <row r="214" spans="1:14" x14ac:dyDescent="0.3">
      <c r="A214" s="9" t="s">
        <v>396</v>
      </c>
      <c r="B214" s="2" t="s">
        <v>397</v>
      </c>
      <c r="C214" s="2">
        <v>17845</v>
      </c>
      <c r="D214" s="2">
        <v>4616</v>
      </c>
      <c r="E214" s="2">
        <v>55</v>
      </c>
      <c r="F214" s="2">
        <v>4149</v>
      </c>
      <c r="G214" s="2">
        <v>261</v>
      </c>
      <c r="H214" s="2">
        <f t="shared" si="6"/>
        <v>0.25867189688988512</v>
      </c>
      <c r="I214" t="s">
        <v>15</v>
      </c>
      <c r="J214" t="s">
        <v>391</v>
      </c>
      <c r="K214">
        <v>251.28</v>
      </c>
      <c r="L214">
        <f t="shared" si="7"/>
        <v>4.5687272727272727</v>
      </c>
      <c r="N214" t="s">
        <v>403</v>
      </c>
    </row>
  </sheetData>
  <hyperlinks>
    <hyperlink ref="A3" r:id="rId1" xr:uid="{D8F3CD97-CFFD-49AB-A149-59DA327EA564}"/>
    <hyperlink ref="A2" r:id="rId2" xr:uid="{8602681C-D864-4F5A-BBDA-3C0DB1E82998}"/>
    <hyperlink ref="A4" r:id="rId3" xr:uid="{E757B5D0-7B2E-4FC1-8487-0303D7486079}"/>
    <hyperlink ref="A5" r:id="rId4" xr:uid="{242D7CE9-2A0C-412A-8DB1-C11268341B26}"/>
    <hyperlink ref="A6" r:id="rId5" xr:uid="{41EDA963-3C3F-4C05-9D2A-9A9A4D375BA2}"/>
    <hyperlink ref="A7" r:id="rId6" xr:uid="{74C743C5-4599-42AD-AE5C-8178299167A1}"/>
    <hyperlink ref="A8" r:id="rId7" xr:uid="{FFCE6212-0535-4138-8AAB-E411091E2FF6}"/>
    <hyperlink ref="A9" r:id="rId8" xr:uid="{CE035F7A-95FD-428A-8778-D8919136A5E3}"/>
    <hyperlink ref="A10" r:id="rId9" xr:uid="{51B39183-A6FF-40EE-AE4F-8EE55DE1A854}"/>
    <hyperlink ref="A11" r:id="rId10" xr:uid="{EF4B02FE-192A-4325-9E1F-B065052E7F40}"/>
    <hyperlink ref="A12" r:id="rId11" xr:uid="{FDE6C14C-B01C-47B0-95E4-E2E5E734C004}"/>
    <hyperlink ref="A13" r:id="rId12" xr:uid="{2A25C730-BE23-4988-A354-96A4AB9D69DB}"/>
    <hyperlink ref="A14" r:id="rId13" xr:uid="{62ECF393-F710-4E95-B5F8-9AA22183992B}"/>
    <hyperlink ref="A15" r:id="rId14" xr:uid="{A752B2EC-73DD-4437-8719-D883923F6C4F}"/>
    <hyperlink ref="A16" r:id="rId15" xr:uid="{B8561C15-23D1-4C04-927D-DBFAA78106FE}"/>
    <hyperlink ref="A17" r:id="rId16" xr:uid="{C60D5917-B1B9-4778-BCC6-CE135064520C}"/>
    <hyperlink ref="A18" r:id="rId17" xr:uid="{919D7259-3234-4980-8B20-BFDB43625537}"/>
    <hyperlink ref="A19" r:id="rId18" xr:uid="{A86A1623-8204-4AF1-80A1-3FF23C23A924}"/>
    <hyperlink ref="A20" r:id="rId19" xr:uid="{462FCC94-F454-47DA-BA56-E18273326EBB}"/>
    <hyperlink ref="A21" r:id="rId20" xr:uid="{056BB8FA-5A2E-4069-8131-DD8C37BCF4EC}"/>
    <hyperlink ref="A22" r:id="rId21" xr:uid="{E9F5697F-B303-4272-963F-36843E72431E}"/>
    <hyperlink ref="A23" r:id="rId22" xr:uid="{CE4C2C20-F96B-4DB5-B436-F0EACC9A11A4}"/>
    <hyperlink ref="A24" r:id="rId23" xr:uid="{9D394CB2-A10F-41CE-8342-0F75324073D2}"/>
    <hyperlink ref="A25" r:id="rId24" xr:uid="{299529A0-F841-4621-98B6-FC8FF7F4A09F}"/>
    <hyperlink ref="A26" r:id="rId25" xr:uid="{9F205A86-A691-4C3F-A3D6-82256420CC95}"/>
    <hyperlink ref="A27" r:id="rId26" xr:uid="{6B58D52B-6161-4C74-9032-93587C822E44}"/>
    <hyperlink ref="A28" r:id="rId27" xr:uid="{83844B16-F172-4855-B588-A4DC3A4127B4}"/>
    <hyperlink ref="A29" r:id="rId28" xr:uid="{98CD1700-7199-4C86-BA24-0E195E231D25}"/>
    <hyperlink ref="A30" r:id="rId29" xr:uid="{C5A54129-6BC9-4292-BFEB-B16FA80EEDDE}"/>
    <hyperlink ref="A31" r:id="rId30" xr:uid="{E478F189-FB0F-4147-93A0-A07FC97FD9F4}"/>
    <hyperlink ref="A32" r:id="rId31" xr:uid="{9767F5C3-62D6-4799-8711-AB348A64D82D}"/>
    <hyperlink ref="A33" r:id="rId32" xr:uid="{14D75AF8-47D9-4B97-9E7D-13C4C5047CB1}"/>
    <hyperlink ref="A34" r:id="rId33" xr:uid="{023781A3-00BA-46D0-AF95-276DA39FB1B2}"/>
    <hyperlink ref="A35" r:id="rId34" xr:uid="{CD94D4F3-82C2-4BCA-B72D-68BFB2E954DC}"/>
    <hyperlink ref="A36" r:id="rId35" xr:uid="{C2EA0BB8-49FD-476A-8CC9-FCE6F8E99976}"/>
    <hyperlink ref="A37" r:id="rId36" xr:uid="{8E9C8CA3-6BBD-418C-83D2-26B06D5558B1}"/>
    <hyperlink ref="A38" r:id="rId37" xr:uid="{7B93B836-BE37-4E63-A6C8-9F13A75C1795}"/>
    <hyperlink ref="A39" r:id="rId38" xr:uid="{8FEF293C-44E9-4C95-8042-E140EB412A26}"/>
    <hyperlink ref="A40" r:id="rId39" xr:uid="{B423207F-95EC-4E32-987A-DBF52E3DE751}"/>
    <hyperlink ref="A41" r:id="rId40" xr:uid="{93E86C88-86D3-4D27-9088-70F3104EB9D0}"/>
    <hyperlink ref="A42" r:id="rId41" xr:uid="{32B90DD7-FE87-46B0-8055-1FAD4398463C}"/>
    <hyperlink ref="A43" r:id="rId42" xr:uid="{1570141C-06A9-4E18-B68D-09F7DED9CF2A}"/>
    <hyperlink ref="A44" r:id="rId43" xr:uid="{6FADD0B9-5158-4317-B9AC-576C845742DA}"/>
    <hyperlink ref="A45" r:id="rId44" xr:uid="{9951E3AF-5DCD-430A-8B3B-E2CCB4840206}"/>
    <hyperlink ref="A46" r:id="rId45" xr:uid="{A3871F7F-7EFA-4E2F-83C0-83D928326934}"/>
    <hyperlink ref="A47" r:id="rId46" xr:uid="{519489E6-9F24-4983-8923-CF0F7EAF3207}"/>
    <hyperlink ref="A48" r:id="rId47" xr:uid="{DCD1D94E-7F25-477C-9461-23A731682264}"/>
    <hyperlink ref="A49" r:id="rId48" xr:uid="{1E93617B-20A7-418F-BCEE-569705F27F1B}"/>
    <hyperlink ref="A50" r:id="rId49" xr:uid="{CFC00164-D426-46AD-B555-5B49B3C41AA0}"/>
    <hyperlink ref="A51" r:id="rId50" xr:uid="{F0C7C501-990B-4AB5-8D82-E322C28C9813}"/>
    <hyperlink ref="A52" r:id="rId51" xr:uid="{D779AC37-9B87-4CBF-92E7-2BCF501B18C9}"/>
    <hyperlink ref="A53" r:id="rId52" xr:uid="{A7EC24B9-65B3-416D-B6B6-02165B3119ED}"/>
    <hyperlink ref="A54" r:id="rId53" xr:uid="{1D809374-2BE8-4044-914C-6A0CA44373E4}"/>
    <hyperlink ref="A55" r:id="rId54" xr:uid="{888BDA87-3766-4F67-B855-1F659BE54F41}"/>
    <hyperlink ref="A56" r:id="rId55" xr:uid="{BF2F50AF-EF44-4B0C-A68D-DAC4EBD2DDD0}"/>
    <hyperlink ref="A57" r:id="rId56" xr:uid="{E6BDCAAA-B9B2-4CAD-BC90-A396E7890A5D}"/>
    <hyperlink ref="A58" r:id="rId57" xr:uid="{5F4E6692-E1D7-4DD1-97F0-F9A128444E3B}"/>
    <hyperlink ref="A59" r:id="rId58" xr:uid="{3924F168-5ACC-44A1-B694-F415F2477C93}"/>
    <hyperlink ref="A60" r:id="rId59" xr:uid="{899D95C9-02BE-479C-9062-F5F598E07D87}"/>
    <hyperlink ref="A61" r:id="rId60" xr:uid="{501459D2-2ED6-450A-BBB4-41BC5759E82D}"/>
    <hyperlink ref="A62" r:id="rId61" xr:uid="{1B09ECA8-B99B-431F-B346-84CBE79A7958}"/>
    <hyperlink ref="A63" r:id="rId62" xr:uid="{A97E6E68-0EBE-4361-B1AA-0DC95C4B29E2}"/>
    <hyperlink ref="A64" r:id="rId63" xr:uid="{6B73D134-9F4F-4DBA-92E8-A24088D34AF6}"/>
    <hyperlink ref="A65" r:id="rId64" xr:uid="{6E64F581-3294-452D-98E9-3A16CD8BD192}"/>
    <hyperlink ref="A66" r:id="rId65" xr:uid="{FA00ADA6-7F89-433E-BD5C-92B3B8C40C70}"/>
    <hyperlink ref="A67" r:id="rId66" xr:uid="{2781FB99-413C-4B67-AA80-094ADA5ABEB9}"/>
    <hyperlink ref="A68" r:id="rId67" xr:uid="{2935AA92-EB93-41C7-9FD3-DBC92FA499B4}"/>
    <hyperlink ref="A69" r:id="rId68" xr:uid="{F3C75734-7F79-477A-A530-3567CFBDDF3B}"/>
    <hyperlink ref="A70" r:id="rId69" xr:uid="{A7C52C34-5063-482D-A240-24276D4D2760}"/>
    <hyperlink ref="A71" r:id="rId70" xr:uid="{A767C8F3-5647-41CD-A4CD-F7012C1A2CCB}"/>
    <hyperlink ref="A72" r:id="rId71" xr:uid="{3677A075-C490-4855-A590-A909F855773C}"/>
    <hyperlink ref="A73" r:id="rId72" xr:uid="{51C093F7-D53E-4B19-B51A-4985A92017B5}"/>
    <hyperlink ref="A74" r:id="rId73" xr:uid="{577E856C-63DB-434F-8A5B-F55849B5C048}"/>
    <hyperlink ref="A75" r:id="rId74" xr:uid="{0E53FBCD-0AD7-413D-BD4A-4B7C86D4E6F9}"/>
    <hyperlink ref="A76" r:id="rId75" xr:uid="{56695AAE-BC5C-4A46-B98C-D5B6D0589804}"/>
    <hyperlink ref="A77" r:id="rId76" xr:uid="{EF01555B-8798-4AB6-9FE7-D5D2C670F0E4}"/>
    <hyperlink ref="A78" r:id="rId77" xr:uid="{E341ACDA-BD4B-4377-87DF-A20107D164C1}"/>
    <hyperlink ref="A79" r:id="rId78" xr:uid="{6D3F992D-85D5-404B-897A-923A3193602E}"/>
    <hyperlink ref="A80" r:id="rId79" xr:uid="{1C3551B2-62BC-415D-8774-DDF8A721F8A1}"/>
    <hyperlink ref="A81" r:id="rId80" xr:uid="{AFA98696-8D4D-4416-8F70-4FFC36A4FD5A}"/>
    <hyperlink ref="A82" r:id="rId81" xr:uid="{D8AB4B7E-242E-49A2-8B56-3BDA1CE65BB9}"/>
    <hyperlink ref="A83" r:id="rId82" xr:uid="{5B92583C-279D-49E6-BF5D-417A6C489356}"/>
    <hyperlink ref="A84" r:id="rId83" xr:uid="{3E78D0B3-E01C-400D-B711-80DB74809034}"/>
    <hyperlink ref="A85" r:id="rId84" xr:uid="{A56D1C50-723C-42A9-97CD-056CBF1C0B38}"/>
    <hyperlink ref="A86" r:id="rId85" xr:uid="{FA748C25-0EA5-48F8-839D-4A30E2AFF260}"/>
    <hyperlink ref="A87" r:id="rId86" xr:uid="{C85FC624-18A3-4EF1-AB29-6283F99E2004}"/>
    <hyperlink ref="A88" r:id="rId87" xr:uid="{E76B4A25-8C9D-42C8-BADF-A3D36E143A59}"/>
    <hyperlink ref="A89" r:id="rId88" xr:uid="{5A5E7ECF-E245-4FBD-9A08-E8B383DCB161}"/>
    <hyperlink ref="A90" r:id="rId89" xr:uid="{9AD0C8FD-CECD-4B55-8C9F-E235439AB56F}"/>
    <hyperlink ref="A91" r:id="rId90" xr:uid="{4FA13627-6458-46CF-AA0A-8035D9244BDB}"/>
    <hyperlink ref="A92" r:id="rId91" xr:uid="{22973AA2-1A7C-4767-A81E-8DC20D7CCF06}"/>
    <hyperlink ref="A93" r:id="rId92" xr:uid="{0F172B90-4C71-4481-8A41-639AB2636B25}"/>
    <hyperlink ref="A94" r:id="rId93" xr:uid="{0B46DAEC-7E5C-413C-B282-DAE397630F96}"/>
    <hyperlink ref="A95" r:id="rId94" xr:uid="{09C6410C-335D-40ED-8F63-7A738A6F8C00}"/>
    <hyperlink ref="A96" r:id="rId95" xr:uid="{33A61EDA-409E-441C-8EB5-5E8602B39F6F}"/>
    <hyperlink ref="A97" r:id="rId96" xr:uid="{C446B5ED-86B5-41FC-9F87-123224E22B6C}"/>
    <hyperlink ref="A98" r:id="rId97" xr:uid="{290FD849-CBA8-485B-B1B1-6DA1D905BA3F}"/>
    <hyperlink ref="A99" r:id="rId98" xr:uid="{97021087-1AC5-4679-9A1C-8665A3CD4999}"/>
    <hyperlink ref="A100" r:id="rId99" xr:uid="{16074B3F-0261-47A5-9E5B-52FF91A0E122}"/>
    <hyperlink ref="A101" r:id="rId100" xr:uid="{5FCEDE60-09EC-403A-96EC-01D9BD41E7AF}"/>
    <hyperlink ref="A102" r:id="rId101" xr:uid="{D0EF9B41-7536-45EB-9260-124A17449DD8}"/>
    <hyperlink ref="A103" r:id="rId102" xr:uid="{72281528-DEC1-4F61-8CF7-2101338870C2}"/>
    <hyperlink ref="A104" r:id="rId103" xr:uid="{284A4E19-E295-4DB9-80BC-A4D88AE04C79}"/>
    <hyperlink ref="A105" r:id="rId104" xr:uid="{CC4684C9-98FB-4D16-B867-CFE799432104}"/>
    <hyperlink ref="A106" r:id="rId105" xr:uid="{03A3CA56-6AF8-4049-9DFF-81E361A6C3D2}"/>
    <hyperlink ref="A107" r:id="rId106" xr:uid="{C2703038-8228-4525-919F-3A3E0498EEE3}"/>
    <hyperlink ref="A108" r:id="rId107" xr:uid="{EDAA788B-4A49-4013-9ED8-707BBD4C735A}"/>
    <hyperlink ref="A109" r:id="rId108" xr:uid="{029C0BCF-128D-4403-8223-9D2951174860}"/>
    <hyperlink ref="A110" r:id="rId109" xr:uid="{E46167A8-182F-4F0D-A4CB-F5A062865292}"/>
    <hyperlink ref="A111" r:id="rId110" xr:uid="{377C56DE-D034-4E4A-AF0F-21CEC6826D7D}"/>
    <hyperlink ref="A112" r:id="rId111" xr:uid="{23E4E677-8BE6-4EBF-979A-80A8A7058024}"/>
    <hyperlink ref="A113" r:id="rId112" xr:uid="{920BDBBA-2A27-49CD-ADA2-0573198CC141}"/>
    <hyperlink ref="A114" r:id="rId113" xr:uid="{BBF3B46C-BE44-432A-9037-FC53803DDAF4}"/>
    <hyperlink ref="A115" r:id="rId114" xr:uid="{EDE00F29-9ABC-41A9-95D2-2356D2927D3D}"/>
    <hyperlink ref="A116" r:id="rId115" xr:uid="{88159608-C1F6-495D-B1D9-68DD15F61768}"/>
    <hyperlink ref="A117" r:id="rId116" xr:uid="{437E0F15-5E9B-4E5F-841D-AE97115DD42B}"/>
    <hyperlink ref="A118" r:id="rId117" xr:uid="{DE46DDC0-3748-4E79-8C4F-F9905BE34240}"/>
    <hyperlink ref="A119" r:id="rId118" xr:uid="{C76C3F7C-229C-40E7-83A2-6A92B274D4FD}"/>
    <hyperlink ref="A120" r:id="rId119" xr:uid="{07BB290A-13C2-4422-B702-0FBF48E32356}"/>
    <hyperlink ref="A121" r:id="rId120" xr:uid="{ED9C9445-8F53-47CC-81CC-BA80D40BE570}"/>
    <hyperlink ref="A122" r:id="rId121" xr:uid="{21DECEFB-8C93-4429-B4A1-E8ABB8102A56}"/>
    <hyperlink ref="A123" r:id="rId122" xr:uid="{FA135F0C-E368-4763-B24D-479FBDA1ED3D}"/>
    <hyperlink ref="A124" r:id="rId123" xr:uid="{C5E7AECC-18F0-459F-9615-3FABD90A273B}"/>
    <hyperlink ref="A125" r:id="rId124" xr:uid="{0C912DE1-B145-4883-88B6-D71EDDC49851}"/>
    <hyperlink ref="A126" r:id="rId125" xr:uid="{AF27BDC0-D50E-4517-AC6E-B523DAB8AF77}"/>
    <hyperlink ref="A127" r:id="rId126" xr:uid="{7262F1A4-1180-4332-A084-EBBEB0241F79}"/>
    <hyperlink ref="A128" r:id="rId127" xr:uid="{93B4241B-6518-42FF-947E-C8E1B8F39DF7}"/>
    <hyperlink ref="A129" r:id="rId128" xr:uid="{E680DC53-C244-434D-A281-65861300388B}"/>
    <hyperlink ref="A130" r:id="rId129" xr:uid="{1E0C8CD8-33DF-46B1-821C-5E052BD7D58C}"/>
    <hyperlink ref="A131" r:id="rId130" xr:uid="{09E04B8A-4631-4640-B0E3-2D687BCED96C}"/>
    <hyperlink ref="A132" r:id="rId131" xr:uid="{09E497A9-2192-4E66-B855-ABED3F6C6483}"/>
    <hyperlink ref="A133" r:id="rId132" xr:uid="{C004B875-6D52-4B3F-80B2-4E9000899FCD}"/>
    <hyperlink ref="A134" r:id="rId133" xr:uid="{257C3A3D-D459-4CDC-A131-DD3AB6066C07}"/>
    <hyperlink ref="A135" r:id="rId134" xr:uid="{DA5B3E2C-A058-40AB-B7D0-C4D9364C4671}"/>
    <hyperlink ref="A136" r:id="rId135" xr:uid="{3FF72987-08DF-4015-AB14-1ADC5E799AA5}"/>
    <hyperlink ref="A137" r:id="rId136" xr:uid="{2C7D949A-0550-4866-9658-4083D7DF2CCF}"/>
    <hyperlink ref="A138" r:id="rId137" xr:uid="{063FCA6F-B973-4DBB-AD7F-297FD615A47A}"/>
    <hyperlink ref="A139" r:id="rId138" xr:uid="{78952C09-521A-4C86-A2DB-7FFBA33FE3BF}"/>
    <hyperlink ref="A140" r:id="rId139" xr:uid="{A772C884-0FA7-4EEE-BA56-C998478D1020}"/>
    <hyperlink ref="A141" r:id="rId140" xr:uid="{44DFAF80-2949-467C-A3E8-5A87AC96EA8D}"/>
    <hyperlink ref="A142" r:id="rId141" xr:uid="{A4DC030F-CC0A-46DE-B413-4BD4EE9CAAA2}"/>
    <hyperlink ref="A143" r:id="rId142" xr:uid="{DF12B99B-E2ED-4BA7-B986-AD4BEAF604F4}"/>
    <hyperlink ref="A144" r:id="rId143" xr:uid="{933083D8-9CD4-4FCD-89A1-693A34ED4B99}"/>
    <hyperlink ref="A145" r:id="rId144" xr:uid="{61EEB6E0-C619-46B5-8A8B-2D8FEF9BE362}"/>
    <hyperlink ref="A146" r:id="rId145" xr:uid="{9FD95D9E-04B9-4019-AD51-6048E2DA3675}"/>
    <hyperlink ref="A147" r:id="rId146" xr:uid="{CC1D7F2F-BD55-4E09-A414-C3B96A9E545E}"/>
    <hyperlink ref="A148" r:id="rId147" xr:uid="{813C9251-1514-4452-82FE-DA53DE8D4E94}"/>
    <hyperlink ref="A149" r:id="rId148" xr:uid="{6D94885D-0D64-41B4-BB1A-404DEC201E6F}"/>
    <hyperlink ref="A150" r:id="rId149" xr:uid="{DFEDE668-31AA-4999-9BC9-F37969D378AD}"/>
    <hyperlink ref="A151" r:id="rId150" xr:uid="{A0637359-F221-4372-AF42-CA3F7FEB25C8}"/>
    <hyperlink ref="A152" r:id="rId151" xr:uid="{5E509760-222F-4804-A960-204055383024}"/>
    <hyperlink ref="A153" r:id="rId152" xr:uid="{60E93E4B-2AD2-4A6C-852F-5DCDAD211C09}"/>
    <hyperlink ref="A154" r:id="rId153" xr:uid="{61DBD01C-5606-4116-A90D-50B6E7A3DD2F}"/>
    <hyperlink ref="A155" r:id="rId154" xr:uid="{0C03C863-2E9F-41AA-B4C4-D7B78D74C6B8}"/>
    <hyperlink ref="A156" r:id="rId155" xr:uid="{4F988465-5E5C-4653-A651-42AE738ECF1E}"/>
    <hyperlink ref="A157" r:id="rId156" xr:uid="{2FE8B3CF-0467-4EC6-8501-5E7054444256}"/>
    <hyperlink ref="A158" r:id="rId157" xr:uid="{505734D4-1EE8-42DB-A4A5-868EAE1E51E6}"/>
    <hyperlink ref="A159" r:id="rId158" xr:uid="{96D5BF3B-E0B8-438E-91B7-71BFA9BC6330}"/>
    <hyperlink ref="A160" r:id="rId159" xr:uid="{E11EADC1-E4A6-46FE-A7B8-C567A840CDA8}"/>
    <hyperlink ref="A161" r:id="rId160" xr:uid="{63DFD171-DF56-4962-BF4F-CB6BBD58A839}"/>
    <hyperlink ref="A162" r:id="rId161" xr:uid="{0E2F2BFA-D2C4-46C7-AC90-EDAF8A04D8A9}"/>
    <hyperlink ref="A163" r:id="rId162" xr:uid="{BB66884D-A873-4568-A37B-B0929AB64DBB}"/>
    <hyperlink ref="A164" r:id="rId163" xr:uid="{40B3C552-3F30-4232-8FEE-950A1744C3C7}"/>
    <hyperlink ref="A165" r:id="rId164" xr:uid="{36864BC0-2A55-4E78-91D3-AB497DDCDE0B}"/>
    <hyperlink ref="A166" r:id="rId165" xr:uid="{0BCA8285-F49D-4397-BEE1-432DC7955B53}"/>
    <hyperlink ref="A167" r:id="rId166" xr:uid="{63C6E408-F4EC-4A4D-8FF5-7715E0AED21C}"/>
    <hyperlink ref="A168" r:id="rId167" xr:uid="{752C5691-EA02-4D69-A5E0-5CD78BB2F747}"/>
    <hyperlink ref="A169" r:id="rId168" xr:uid="{DF8AB34A-6B00-4D13-8312-073977F44F0F}"/>
    <hyperlink ref="A170" r:id="rId169" xr:uid="{8DB54544-D852-44F1-8458-FF817B69EECA}"/>
    <hyperlink ref="A171" r:id="rId170" xr:uid="{8475F6AD-4310-4F45-9E7F-BF8EE0F07E42}"/>
    <hyperlink ref="A172" r:id="rId171" xr:uid="{DEC2799C-D7FF-4B6C-9289-C20E6F80F352}"/>
    <hyperlink ref="A173" r:id="rId172" xr:uid="{0408802B-EC43-42EF-8FB7-F547A8A5EA62}"/>
    <hyperlink ref="A174" r:id="rId173" xr:uid="{6840315B-1709-48D9-862D-28C7D3656650}"/>
    <hyperlink ref="A175" r:id="rId174" xr:uid="{F7691CC0-6F8F-4D24-8529-28AFEB13B53C}"/>
    <hyperlink ref="A176" r:id="rId175" xr:uid="{D32120F3-962D-4078-89F4-8702645726BF}"/>
    <hyperlink ref="A177" r:id="rId176" xr:uid="{2556328B-C87A-4FF4-BDA9-31834B1DD12A}"/>
    <hyperlink ref="A178" r:id="rId177" xr:uid="{9AB850C0-1154-43A3-BF6A-AB64271954F4}"/>
    <hyperlink ref="A179" r:id="rId178" xr:uid="{039C8362-5B9A-4666-9D4A-79AF7A50B64A}"/>
    <hyperlink ref="A180" r:id="rId179" xr:uid="{397F9B75-B478-4788-B671-33301D4C3145}"/>
    <hyperlink ref="A181" r:id="rId180" xr:uid="{1A176ABE-4F56-4E69-874E-CB82BE458D4E}"/>
    <hyperlink ref="A182" r:id="rId181" xr:uid="{F4EDA936-1C75-491F-9CF3-FDC5CA7519EF}"/>
    <hyperlink ref="A183" r:id="rId182" xr:uid="{160DEC83-0155-4332-839D-8F1E51747774}"/>
    <hyperlink ref="A184" r:id="rId183" xr:uid="{C1404E58-46F6-41F5-911F-B1DD02440165}"/>
    <hyperlink ref="A185" r:id="rId184" xr:uid="{60827A64-45F4-4ADF-B839-09DBB4D42395}"/>
    <hyperlink ref="A186" r:id="rId185" xr:uid="{618B94C7-136B-48D7-88AE-43A7B763CC35}"/>
    <hyperlink ref="A187" r:id="rId186" xr:uid="{8DDFFB1A-2D18-4425-9BCD-C359B72F88A6}"/>
    <hyperlink ref="A188" r:id="rId187" xr:uid="{3AC12725-08E2-4F1A-9A9C-9900A31D6570}"/>
    <hyperlink ref="A189" r:id="rId188" xr:uid="{1B957793-651F-4094-B758-20798398C6AD}"/>
    <hyperlink ref="A190" r:id="rId189" xr:uid="{3E3E00E6-1BAB-452F-B16F-24778ABB47E3}"/>
    <hyperlink ref="A191" r:id="rId190" xr:uid="{D267A6B0-9B24-4674-AAB5-A29DA8C0C150}"/>
    <hyperlink ref="A192" r:id="rId191" xr:uid="{25C87164-F063-4D7C-977C-13A6B3C24E0F}"/>
    <hyperlink ref="A193" r:id="rId192" xr:uid="{D2DA90D4-97B6-4FB7-B27E-3D621E984541}"/>
    <hyperlink ref="A194" r:id="rId193" xr:uid="{838B2964-E319-490F-AC87-095D8EC7EA82}"/>
    <hyperlink ref="A195" r:id="rId194" xr:uid="{39C4F581-65C5-4F0A-992D-FAC928B3D27A}"/>
    <hyperlink ref="A196" r:id="rId195" xr:uid="{507BB043-95A2-4447-9BEC-0FE65E6A7A7E}"/>
    <hyperlink ref="A197" r:id="rId196" xr:uid="{38B367F2-11F9-490C-AD2E-697FFB4573D1}"/>
    <hyperlink ref="A198" r:id="rId197" xr:uid="{A6E96D62-4488-4C91-960A-D24C8B3E9D98}"/>
    <hyperlink ref="A199" r:id="rId198" xr:uid="{1BB203C2-686E-468D-8157-A8D6E24AF45D}"/>
    <hyperlink ref="A200" r:id="rId199" xr:uid="{95CEBDE2-3D20-4839-B558-BDAA0AB976DF}"/>
    <hyperlink ref="A201" r:id="rId200" xr:uid="{6D16BDB1-CFDA-492B-8994-7CF62BF46A3D}"/>
    <hyperlink ref="A202" r:id="rId201" xr:uid="{A43CD087-C8CC-4B52-AA51-05EEC2714FDD}"/>
    <hyperlink ref="A203" r:id="rId202" xr:uid="{60A602D1-7BF4-4AB1-ACBF-8EE0C30DCD7D}"/>
    <hyperlink ref="A204" r:id="rId203" xr:uid="{1E0858E1-89D8-45CB-972B-AE65239FA2EE}"/>
    <hyperlink ref="A205" r:id="rId204" xr:uid="{E180010A-EE25-4C77-B8AC-CFE2A149E96B}"/>
    <hyperlink ref="A206" r:id="rId205" xr:uid="{0DA66B29-6CF6-4D37-B101-FEC4861AA5CD}"/>
    <hyperlink ref="A207" r:id="rId206" xr:uid="{C0AC296B-281C-40F4-8FC7-B5EC24D907E8}"/>
    <hyperlink ref="A208" r:id="rId207" xr:uid="{D1D18AA7-A814-4D3A-B834-CD058D77BA38}"/>
    <hyperlink ref="A209" r:id="rId208" xr:uid="{07E59173-2841-45E3-981A-A8B569F6D9F2}"/>
    <hyperlink ref="A210" r:id="rId209" xr:uid="{69721587-46CB-452B-B317-2A9F6CDD97DA}"/>
    <hyperlink ref="A211" r:id="rId210" xr:uid="{D96062D6-9909-42CE-9DB3-F637A1421239}"/>
    <hyperlink ref="A212" r:id="rId211" xr:uid="{3A29EFB9-4FB9-4995-8FF8-FB0BD3014176}"/>
    <hyperlink ref="A213" r:id="rId212" xr:uid="{2F9F29CA-903F-41B1-96A4-6E5704F7FBF9}"/>
    <hyperlink ref="A214" r:id="rId213" xr:uid="{7A5A2450-2099-4E42-95C7-ED7B470EBA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Lamisa Deya</dc:creator>
  <cp:lastModifiedBy>Lamisa Deya</cp:lastModifiedBy>
  <dcterms:created xsi:type="dcterms:W3CDTF">2025-07-20T05:32:58Z</dcterms:created>
  <dcterms:modified xsi:type="dcterms:W3CDTF">2025-08-25T15:58:16Z</dcterms:modified>
</cp:coreProperties>
</file>